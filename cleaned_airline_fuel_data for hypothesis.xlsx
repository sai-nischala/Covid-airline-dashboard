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ch\Desktop\UTD\Sem2\data viz\Project\"/>
    </mc:Choice>
  </mc:AlternateContent>
  <xr:revisionPtr revIDLastSave="0" documentId="13_ncr:1_{70356F91-1859-47F3-8C1D-7AA04F0253D2}" xr6:coauthVersionLast="47" xr6:coauthVersionMax="47" xr10:uidLastSave="{00000000-0000-0000-0000-000000000000}"/>
  <bookViews>
    <workbookView xWindow="-108" yWindow="-108" windowWidth="23256" windowHeight="12456" activeTab="2" xr2:uid="{231CCEC7-83B2-446C-94F9-C0D94B4D0B4B}"/>
  </bookViews>
  <sheets>
    <sheet name="cleaned_airline_fuel_data (1)" sheetId="1" r:id="rId1"/>
    <sheet name="Sheet1" sheetId="4" r:id="rId2"/>
    <sheet name="Sheet2" sheetId="5" r:id="rId3"/>
    <sheet name="Pivoting" sheetId="2" r:id="rId4"/>
    <sheet name="Final hyp pivot" sheetId="3" r:id="rId5"/>
  </sheet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E24" i="2"/>
  <c r="E27" i="2"/>
  <c r="E30" i="2"/>
  <c r="E31" i="2"/>
  <c r="E32" i="2"/>
  <c r="E38" i="2"/>
  <c r="E41" i="2"/>
  <c r="E42" i="2"/>
  <c r="E44" i="2"/>
  <c r="E45" i="2"/>
  <c r="E46" i="2"/>
  <c r="E52" i="2"/>
  <c r="E55" i="2"/>
  <c r="E56" i="2"/>
  <c r="E58" i="2"/>
  <c r="E59" i="2"/>
  <c r="E60" i="2"/>
  <c r="E66" i="2"/>
  <c r="E69" i="2"/>
  <c r="E70" i="2"/>
  <c r="E72" i="2"/>
  <c r="E73" i="2"/>
  <c r="E74" i="2"/>
  <c r="E80" i="2"/>
  <c r="D17" i="2"/>
  <c r="D18" i="2"/>
  <c r="E18" i="2" s="1"/>
  <c r="D19" i="2"/>
  <c r="E19" i="2" s="1"/>
  <c r="D20" i="2"/>
  <c r="E20" i="2" s="1"/>
  <c r="D21" i="2"/>
  <c r="E21" i="2" s="1"/>
  <c r="D22" i="2"/>
  <c r="E23" i="2" s="1"/>
  <c r="D23" i="2"/>
  <c r="D24" i="2"/>
  <c r="D25" i="2"/>
  <c r="E25" i="2" s="1"/>
  <c r="D26" i="2"/>
  <c r="E26" i="2" s="1"/>
  <c r="D27" i="2"/>
  <c r="D28" i="2"/>
  <c r="E28" i="2" s="1"/>
  <c r="D29" i="2"/>
  <c r="D30" i="2"/>
  <c r="D31" i="2"/>
  <c r="D32" i="2"/>
  <c r="D33" i="2"/>
  <c r="E33" i="2" s="1"/>
  <c r="D34" i="2"/>
  <c r="E34" i="2" s="1"/>
  <c r="D35" i="2"/>
  <c r="E35" i="2" s="1"/>
  <c r="D36" i="2"/>
  <c r="E36" i="2" s="1"/>
  <c r="D37" i="2"/>
  <c r="D38" i="2"/>
  <c r="D39" i="2"/>
  <c r="E39" i="2" s="1"/>
  <c r="D40" i="2"/>
  <c r="E40" i="2" s="1"/>
  <c r="D41" i="2"/>
  <c r="D42" i="2"/>
  <c r="E43" i="2" s="1"/>
  <c r="D43" i="2"/>
  <c r="D44" i="2"/>
  <c r="D45" i="2"/>
  <c r="D46" i="2"/>
  <c r="D47" i="2"/>
  <c r="E47" i="2" s="1"/>
  <c r="D48" i="2"/>
  <c r="E48" i="2" s="1"/>
  <c r="D49" i="2"/>
  <c r="E49" i="2" s="1"/>
  <c r="D50" i="2"/>
  <c r="E50" i="2" s="1"/>
  <c r="D51" i="2"/>
  <c r="D52" i="2"/>
  <c r="D53" i="2"/>
  <c r="E53" i="2" s="1"/>
  <c r="D54" i="2"/>
  <c r="E54" i="2" s="1"/>
  <c r="D55" i="2"/>
  <c r="D56" i="2"/>
  <c r="E57" i="2" s="1"/>
  <c r="D57" i="2"/>
  <c r="D58" i="2"/>
  <c r="D59" i="2"/>
  <c r="D60" i="2"/>
  <c r="D61" i="2"/>
  <c r="E61" i="2" s="1"/>
  <c r="D62" i="2"/>
  <c r="E62" i="2" s="1"/>
  <c r="D63" i="2"/>
  <c r="E63" i="2" s="1"/>
  <c r="D64" i="2"/>
  <c r="E64" i="2" s="1"/>
  <c r="D65" i="2"/>
  <c r="D66" i="2"/>
  <c r="D67" i="2"/>
  <c r="E67" i="2" s="1"/>
  <c r="D68" i="2"/>
  <c r="E68" i="2" s="1"/>
  <c r="D69" i="2"/>
  <c r="D70" i="2"/>
  <c r="E71" i="2" s="1"/>
  <c r="D71" i="2"/>
  <c r="D72" i="2"/>
  <c r="D73" i="2"/>
  <c r="D74" i="2"/>
  <c r="D75" i="2"/>
  <c r="E75" i="2" s="1"/>
  <c r="D76" i="2"/>
  <c r="E76" i="2" s="1"/>
  <c r="D77" i="2"/>
  <c r="E77" i="2" s="1"/>
  <c r="D78" i="2"/>
  <c r="E78" i="2" s="1"/>
  <c r="D79" i="2"/>
  <c r="D80" i="2"/>
  <c r="D81" i="2"/>
  <c r="E81" i="2" s="1"/>
  <c r="D82" i="2"/>
  <c r="E82" i="2" s="1"/>
  <c r="D5" i="2"/>
  <c r="D6" i="2"/>
  <c r="D7" i="2"/>
  <c r="D8" i="2"/>
  <c r="D9" i="2"/>
  <c r="D10" i="2"/>
  <c r="E11" i="2" s="1"/>
  <c r="D11" i="2"/>
  <c r="D12" i="2"/>
  <c r="D13" i="2"/>
  <c r="D14" i="2"/>
  <c r="D15" i="2"/>
  <c r="D16" i="2"/>
  <c r="D16" i="3"/>
  <c r="E16" i="3" s="1"/>
  <c r="D15" i="3"/>
  <c r="D14" i="3"/>
  <c r="D13" i="3"/>
  <c r="E13" i="3" s="1"/>
  <c r="D12" i="3"/>
  <c r="D11" i="3"/>
  <c r="D10" i="3"/>
  <c r="D9" i="3"/>
  <c r="E9" i="3" s="1"/>
  <c r="D8" i="3"/>
  <c r="D7" i="3"/>
  <c r="D6" i="3"/>
  <c r="D5" i="3"/>
  <c r="E5" i="3" s="1"/>
  <c r="D4" i="3"/>
  <c r="D4" i="2"/>
  <c r="E7" i="3" l="1"/>
  <c r="E8" i="3"/>
  <c r="E29" i="2"/>
  <c r="E11" i="3"/>
  <c r="E12" i="3"/>
  <c r="E22" i="2"/>
  <c r="E6" i="3"/>
  <c r="E10" i="3"/>
  <c r="E14" i="3"/>
  <c r="E79" i="2"/>
  <c r="E65" i="2"/>
  <c r="E51" i="2"/>
  <c r="E37" i="2"/>
  <c r="E15" i="3"/>
  <c r="E7" i="2"/>
  <c r="E6" i="2"/>
  <c r="E5" i="2"/>
  <c r="E8" i="2"/>
  <c r="E15" i="2"/>
  <c r="E16" i="2"/>
  <c r="E13" i="2"/>
  <c r="E9" i="2"/>
  <c r="E14" i="2"/>
  <c r="E12" i="2"/>
  <c r="E10" i="2"/>
</calcChain>
</file>

<file path=xl/sharedStrings.xml><?xml version="1.0" encoding="utf-8"?>
<sst xmlns="http://schemas.openxmlformats.org/spreadsheetml/2006/main" count="645" uniqueCount="107">
  <si>
    <t>Year</t>
  </si>
  <si>
    <t>Month</t>
  </si>
  <si>
    <t>Domestic_Consumption_million_gallons</t>
  </si>
  <si>
    <t>Domestic_Cost_million_dollars</t>
  </si>
  <si>
    <t>Domestic_Cost_per_Gallon</t>
  </si>
  <si>
    <t>International_Consumption_million_gallons</t>
  </si>
  <si>
    <t>International_Cost_million_dollars</t>
  </si>
  <si>
    <t>International_Cost_per_Gallon</t>
  </si>
  <si>
    <t>Total_Consumption_million_gallons</t>
  </si>
  <si>
    <t>Total_Cost_million_dollars</t>
  </si>
  <si>
    <t>Total_Cost_per_Gallon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</si>
  <si>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</si>
  <si>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</si>
  <si>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</si>
  <si>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</si>
  <si>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</si>
  <si>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</si>
  <si>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</si>
  <si>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</si>
  <si>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</si>
  <si>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</si>
  <si>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</si>
  <si>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</si>
  <si>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2000 Total</t>
  </si>
  <si>
    <t>2001 Total</t>
  </si>
  <si>
    <t>% Chg over 2000</t>
  </si>
  <si>
    <t>2002 Total</t>
  </si>
  <si>
    <t>% Chg over 2001</t>
  </si>
  <si>
    <t>2003 Total</t>
  </si>
  <si>
    <t>% Chg over 2002</t>
  </si>
  <si>
    <t>2004 Total</t>
  </si>
  <si>
    <t>% Chg over 2003</t>
  </si>
  <si>
    <t>2005 Total</t>
  </si>
  <si>
    <t>% Chg over 2004</t>
  </si>
  <si>
    <t>2006 Total</t>
  </si>
  <si>
    <t>% Chg over 2005</t>
  </si>
  <si>
    <t>2007 Total</t>
  </si>
  <si>
    <t>% Chg over 2006</t>
  </si>
  <si>
    <t>2008 Total</t>
  </si>
  <si>
    <t>% Chg over 2007</t>
  </si>
  <si>
    <t>2009 Total</t>
  </si>
  <si>
    <t>% Chg over 2008</t>
  </si>
  <si>
    <t>2010 Total</t>
  </si>
  <si>
    <t>% Chg over 2009</t>
  </si>
  <si>
    <t>2011 Total</t>
  </si>
  <si>
    <t>% Chg over 2010</t>
  </si>
  <si>
    <t>2012 Total</t>
  </si>
  <si>
    <t>% Chg over 2011</t>
  </si>
  <si>
    <t>2013 Total</t>
  </si>
  <si>
    <t>% Chg over 2012</t>
  </si>
  <si>
    <t>2014 Total</t>
  </si>
  <si>
    <t>% Chg over 2013</t>
  </si>
  <si>
    <t>2015 Total</t>
  </si>
  <si>
    <t>% Chg over 2014</t>
  </si>
  <si>
    <t>2016 Total</t>
  </si>
  <si>
    <t>% Chg over 2015</t>
  </si>
  <si>
    <t>2017 Total</t>
  </si>
  <si>
    <t>% Chg over 2016</t>
  </si>
  <si>
    <t>2018 Total</t>
  </si>
  <si>
    <t>% Chg over 2017</t>
  </si>
  <si>
    <t>2019 Total</t>
  </si>
  <si>
    <t>% Chg over 2018</t>
  </si>
  <si>
    <t>2020 Total</t>
  </si>
  <si>
    <t>% Chg over 2019</t>
  </si>
  <si>
    <t>2021 Total</t>
  </si>
  <si>
    <t>% Chg over 2020</t>
  </si>
  <si>
    <t>2022 Total</t>
  </si>
  <si>
    <t>% Chg over 2021</t>
  </si>
  <si>
    <t>2023 Total</t>
  </si>
  <si>
    <t>% Chg over 2022</t>
  </si>
  <si>
    <t>2024 Total</t>
  </si>
  <si>
    <t>% Chg over 2023</t>
  </si>
  <si>
    <t>2025 YTD</t>
  </si>
  <si>
    <t>% Chg over 2024 YTD</t>
  </si>
  <si>
    <t>Row Labels</t>
  </si>
  <si>
    <t>(blank)</t>
  </si>
  <si>
    <t>Grand Total</t>
  </si>
  <si>
    <t>Sum of Total_Cost_million_dollars</t>
  </si>
  <si>
    <t>Sum of Total_Consumption_million_gallons</t>
  </si>
  <si>
    <t xml:space="preserve"> Cost per Gallon</t>
  </si>
  <si>
    <t>YoY % Change</t>
  </si>
  <si>
    <t>Year-Month</t>
  </si>
  <si>
    <t xml:space="preserve"> Monthly Passengers in millions</t>
  </si>
  <si>
    <t>Monthly Passengers (M)</t>
  </si>
  <si>
    <t>Total Fuel Consumption (M gallons)</t>
  </si>
  <si>
    <t>Fuel Cost per Gallon ($)</t>
  </si>
  <si>
    <t>% Change in Passengers (YoY)</t>
  </si>
  <si>
    <t>Total Fuel Cost (M$)</t>
  </si>
  <si>
    <t>19-Dec</t>
  </si>
  <si>
    <t>20-Jan</t>
  </si>
  <si>
    <t>20-Feb</t>
  </si>
  <si>
    <t>20-Mar</t>
  </si>
  <si>
    <t>20-Apr</t>
  </si>
  <si>
    <t>20-May</t>
  </si>
  <si>
    <t>20-Jun</t>
  </si>
  <si>
    <t>20-Jul</t>
  </si>
  <si>
    <t>20-Aug</t>
  </si>
  <si>
    <t>20-Sep</t>
  </si>
  <si>
    <t>20-Oct</t>
  </si>
  <si>
    <t>20-Nov</t>
  </si>
  <si>
    <t>20-Dec</t>
  </si>
  <si>
    <t>21-Jan</t>
  </si>
  <si>
    <t>21-Feb</t>
  </si>
  <si>
    <t>21-Mar</t>
  </si>
  <si>
    <t>21-Apr</t>
  </si>
  <si>
    <t>21-May</t>
  </si>
  <si>
    <t>21-Jun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</si>
</sst>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212529"/>
      <name val="Open Sans"/>
      <family val="2"/>
    </font>
    <font>
      <sz val="11"/>
      <color rgb="FF212529"/>
      <name val="Open San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1" applyNumberFormat="1" applyFont="1"/>
    <xf numFmtId="16" fontId="18" fillId="33" borderId="10" xfId="0" applyNumberFormat="1" applyFont="1" applyFill="1" applyBorder="1" applyAlignment="1">
      <alignment horizontal="center" vertical="top"/>
    </xf>
    <xf numFmtId="0" fontId="18" fillId="33" borderId="10" xfId="0" applyFont="1" applyFill="1" applyBorder="1" applyAlignment="1">
      <alignment horizontal="center" vertical="top"/>
    </xf>
    <xf numFmtId="16" fontId="19" fillId="0" borderId="10" xfId="0" applyNumberFormat="1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0" borderId="11" xfId="0" applyFont="1" applyBorder="1" applyAlignment="1">
      <alignment horizontal="center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Nischala Kuchibhotla" refreshedDate="45768.716697800926" createdVersion="8" refreshedVersion="8" minRefreshableVersion="3" recordCount="354" xr:uid="{27CD2C62-6A24-4B1B-B4E7-80CAED9AADAC}">
  <cacheSource type="worksheet">
    <worksheetSource ref="A1:K1048576" sheet="cleaned_airline_fuel_data (1)"/>
  </cacheSource>
  <cacheFields count="11">
    <cacheField name="Year" numFmtId="0">
      <sharedItems containsBlank="1" containsMixedTypes="1" containsNumber="1" containsInteger="1" minValue="2000" maxValue="2025" count="78">
        <n v="2000"/>
        <s v="2000 Total"/>
        <n v="2001"/>
        <s v="2001 Total"/>
        <s v="% Chg over 2000"/>
        <n v="2002"/>
        <s v="2002 Total"/>
        <s v="% Chg over 2001"/>
        <n v="2003"/>
        <s v="2003 Total"/>
        <s v="% Chg over 2002"/>
        <n v="2004"/>
        <s v="2004 Total"/>
        <s v="% Chg over 2003"/>
        <n v="2005"/>
        <s v="2005 Total"/>
        <s v="% Chg over 2004"/>
        <n v="2006"/>
        <s v="2006 Total"/>
        <s v="% Chg over 2005"/>
        <n v="2007"/>
        <s v="2007 Total"/>
        <s v="% Chg over 2006"/>
        <n v="2008"/>
        <s v="2008 Total"/>
        <s v="% Chg over 2007"/>
        <n v="2009"/>
        <s v="2009 Total"/>
        <s v="% Chg over 2008"/>
        <n v="2010"/>
        <s v="2010 Total"/>
        <s v="% Chg over 2009"/>
        <n v="2011"/>
        <s v="2011 Total"/>
        <s v="% Chg over 2010"/>
        <n v="2012"/>
        <s v="2012 Total"/>
        <s v="% Chg over 2011"/>
        <n v="2013"/>
        <s v="2013 Total"/>
        <s v="% Chg over 2012"/>
        <n v="2014"/>
        <s v="2014 Total"/>
        <s v="% Chg over 2013"/>
        <n v="2015"/>
        <s v="2015 Total"/>
        <s v="% Chg over 2014"/>
        <n v="2016"/>
        <s v="2016 Total"/>
        <s v="% Chg over 2015"/>
        <n v="2017"/>
        <s v="2017 Total"/>
        <s v="% Chg over 2016"/>
        <n v="2018"/>
        <s v="2018 Total"/>
        <s v="% Chg over 2017"/>
        <n v="2019"/>
        <s v="2019 Total"/>
        <s v="% Chg over 2018"/>
        <n v="2020"/>
        <s v="2020 Total"/>
        <s v="% Chg over 2019"/>
        <n v="2021"/>
        <s v="2021 Total"/>
        <s v="% Chg over 2020"/>
        <n v="2022"/>
        <s v="2022 Total"/>
        <s v="% Chg over 2021"/>
        <n v="2023"/>
        <s v="2023 Total"/>
        <s v="% Chg over 2022"/>
        <n v="2024"/>
        <s v="2024 Total"/>
        <s v="% Chg over 2023"/>
        <n v="2025"/>
        <s v="2025 YTD"/>
        <s v="% Chg over 2024 YTD"/>
        <m/>
      </sharedItems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Domestic_Consumption_million_gallons" numFmtId="0">
      <sharedItems containsString="0" containsBlank="1" containsNumber="1" minValue="-0.40639999999999998" maxValue="13903.7"/>
    </cacheField>
    <cacheField name="Domestic_Cost_million_dollars" numFmtId="0">
      <sharedItems containsString="0" containsBlank="1" containsNumber="1" minValue="-0.57389999999999997" maxValue="38427.9"/>
    </cacheField>
    <cacheField name="Domestic_Cost_per_Gallon" numFmtId="0">
      <sharedItems containsString="0" containsBlank="1" containsNumber="1" minValue="-0.36530000000000001" maxValue="4.03"/>
    </cacheField>
    <cacheField name="International_Consumption_million_gallons" numFmtId="0">
      <sharedItems containsString="0" containsBlank="1" containsNumber="1" minValue="-0.49930000000000002" maxValue="6398.2"/>
    </cacheField>
    <cacheField name="International_Cost_million_dollars" numFmtId="0">
      <sharedItems containsString="0" containsBlank="1" containsNumber="1" minValue="-0.64370000000000005" maxValue="17773.5"/>
    </cacheField>
    <cacheField name="International_Cost_per_Gallon" numFmtId="0">
      <sharedItems containsString="0" containsBlank="1" containsNumber="1" minValue="-0.42020000000000002" maxValue="4.0999999999999996"/>
    </cacheField>
    <cacheField name="Total_Consumption_million_gallons" numFmtId="0">
      <sharedItems containsString="0" containsBlank="1" containsNumber="1" minValue="-0.43730000000000002" maxValue="19026.2"/>
    </cacheField>
    <cacheField name="Total_Cost_million_dollars" numFmtId="0">
      <sharedItems containsString="0" containsBlank="1" containsNumber="1" minValue="-0.59709999999999996" maxValue="56128.7"/>
    </cacheField>
    <cacheField name="Total_Cost_per_Gallon" numFmtId="0">
      <sharedItems containsString="0" containsBlank="1" containsNumber="1" minValue="-0.38179999999999997" maxValue="4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">
  <r>
    <x v="0"/>
    <x v="0"/>
    <n v="1108.5999999999999"/>
    <n v="766.5"/>
    <n v="0.69"/>
    <n v="386.8"/>
    <n v="313.60000000000002"/>
    <n v="0.81"/>
    <n v="1495.4"/>
    <n v="1080.0999999999999"/>
    <n v="0.72"/>
  </r>
  <r>
    <x v="0"/>
    <x v="1"/>
    <n v="1068.4000000000001"/>
    <n v="772.3"/>
    <n v="0.72"/>
    <n v="366.8"/>
    <n v="298.7"/>
    <n v="0.81"/>
    <n v="1435.2"/>
    <n v="1071.0999999999999"/>
    <n v="0.75"/>
  </r>
  <r>
    <x v="0"/>
    <x v="2"/>
    <n v="1174.3"/>
    <n v="875.5"/>
    <n v="0.75"/>
    <n v="399.7"/>
    <n v="330.1"/>
    <n v="0.83"/>
    <n v="1574"/>
    <n v="1205.5999999999999"/>
    <n v="0.77"/>
  </r>
  <r>
    <x v="0"/>
    <x v="3"/>
    <n v="1145.3"/>
    <n v="841.9"/>
    <n v="0.74"/>
    <n v="407.9"/>
    <n v="336.7"/>
    <n v="0.83"/>
    <n v="1553.1"/>
    <n v="1178.7"/>
    <n v="0.76"/>
  </r>
  <r>
    <x v="0"/>
    <x v="4"/>
    <n v="1174.2"/>
    <n v="833.3"/>
    <n v="0.71"/>
    <n v="434.4"/>
    <n v="337.9"/>
    <n v="0.78"/>
    <n v="1608.6"/>
    <n v="1171.2"/>
    <n v="0.73"/>
  </r>
  <r>
    <x v="0"/>
    <x v="5"/>
    <n v="1183.8"/>
    <n v="809.9"/>
    <n v="0.68"/>
    <n v="448.5"/>
    <n v="345.9"/>
    <n v="0.77"/>
    <n v="1632.3"/>
    <n v="1155.8"/>
    <n v="0.71"/>
  </r>
  <r>
    <x v="0"/>
    <x v="6"/>
    <n v="1223.9000000000001"/>
    <n v="931.7"/>
    <n v="0.76"/>
    <n v="463.1"/>
    <n v="374.7"/>
    <n v="0.81"/>
    <n v="1687"/>
    <n v="1306.3"/>
    <n v="0.77"/>
  </r>
  <r>
    <x v="0"/>
    <x v="7"/>
    <n v="1229"/>
    <n v="954.5"/>
    <n v="0.78"/>
    <n v="468.8"/>
    <n v="398.9"/>
    <n v="0.85"/>
    <n v="1697.8"/>
    <n v="1353.4"/>
    <n v="0.8"/>
  </r>
  <r>
    <x v="0"/>
    <x v="8"/>
    <n v="1099"/>
    <n v="928.9"/>
    <n v="0.85"/>
    <n v="446.5"/>
    <n v="421.1"/>
    <n v="0.94"/>
    <n v="1545.5"/>
    <n v="1350"/>
    <n v="0.87"/>
  </r>
  <r>
    <x v="0"/>
    <x v="9"/>
    <n v="1195.5999999999999"/>
    <n v="1052"/>
    <n v="0.88"/>
    <n v="452.1"/>
    <n v="428.6"/>
    <n v="0.95"/>
    <n v="1647.7"/>
    <n v="1480.6"/>
    <n v="0.9"/>
  </r>
  <r>
    <x v="0"/>
    <x v="10"/>
    <n v="1151.9000000000001"/>
    <n v="1005.9"/>
    <n v="0.87"/>
    <n v="419.2"/>
    <n v="395.5"/>
    <n v="0.94"/>
    <n v="1571.1"/>
    <n v="1401.4"/>
    <n v="0.89"/>
  </r>
  <r>
    <x v="0"/>
    <x v="11"/>
    <n v="1149.9000000000001"/>
    <n v="1038.2"/>
    <n v="0.9"/>
    <n v="428.6"/>
    <n v="406"/>
    <n v="0.95"/>
    <n v="1578.5"/>
    <n v="1444.2"/>
    <n v="0.91"/>
  </r>
  <r>
    <x v="1"/>
    <x v="12"/>
    <n v="13903.7"/>
    <n v="10810.6"/>
    <n v="0.78"/>
    <n v="5122.5"/>
    <n v="4387.8"/>
    <n v="0.86"/>
    <n v="19026.2"/>
    <n v="15198.4"/>
    <n v="0.8"/>
  </r>
  <r>
    <x v="2"/>
    <x v="0"/>
    <n v="1153.4000000000001"/>
    <n v="983"/>
    <n v="0.85"/>
    <n v="416.7"/>
    <n v="370"/>
    <n v="0.89"/>
    <n v="1570.1"/>
    <n v="1352.9"/>
    <n v="0.86"/>
  </r>
  <r>
    <x v="2"/>
    <x v="1"/>
    <n v="1066.8"/>
    <n v="898.3"/>
    <n v="0.84"/>
    <n v="386.6"/>
    <n v="335.7"/>
    <n v="0.87"/>
    <n v="1453.4"/>
    <n v="1234"/>
    <n v="0.85"/>
  </r>
  <r>
    <x v="2"/>
    <x v="2"/>
    <n v="1181.7"/>
    <n v="936.5"/>
    <n v="0.79"/>
    <n v="443.1"/>
    <n v="377.6"/>
    <n v="0.85"/>
    <n v="1624.7"/>
    <n v="1314.1"/>
    <n v="0.81"/>
  </r>
  <r>
    <x v="2"/>
    <x v="3"/>
    <n v="1124.4000000000001"/>
    <n v="865.5"/>
    <n v="0.77"/>
    <n v="434.8"/>
    <n v="349.1"/>
    <n v="0.8"/>
    <n v="1559.1"/>
    <n v="1214.5999999999999"/>
    <n v="0.78"/>
  </r>
  <r>
    <x v="2"/>
    <x v="4"/>
    <n v="1175.4000000000001"/>
    <n v="946.4"/>
    <n v="0.81"/>
    <n v="454.2"/>
    <n v="372.8"/>
    <n v="0.82"/>
    <n v="1629.7"/>
    <n v="1319.2"/>
    <n v="0.81"/>
  </r>
  <r>
    <x v="2"/>
    <x v="5"/>
    <n v="1184.4000000000001"/>
    <n v="951.8"/>
    <n v="0.8"/>
    <n v="452.8"/>
    <n v="373.8"/>
    <n v="0.83"/>
    <n v="1637.2"/>
    <n v="1325.6"/>
    <n v="0.81"/>
  </r>
  <r>
    <x v="2"/>
    <x v="6"/>
    <n v="1213.7"/>
    <n v="937.2"/>
    <n v="0.77"/>
    <n v="466.5"/>
    <n v="379.9"/>
    <n v="0.81"/>
    <n v="1680.2"/>
    <n v="1317.1"/>
    <n v="0.78"/>
  </r>
  <r>
    <x v="2"/>
    <x v="7"/>
    <n v="1245.8"/>
    <n v="948.4"/>
    <n v="0.76"/>
    <n v="472.1"/>
    <n v="374.7"/>
    <n v="0.79"/>
    <n v="1718"/>
    <n v="1323.1"/>
    <n v="0.77"/>
  </r>
  <r>
    <x v="2"/>
    <x v="8"/>
    <n v="888.5"/>
    <n v="703"/>
    <n v="0.79"/>
    <n v="369.2"/>
    <n v="292.7"/>
    <n v="0.79"/>
    <n v="1257.7"/>
    <n v="995.7"/>
    <n v="0.79"/>
  </r>
  <r>
    <x v="2"/>
    <x v="9"/>
    <n v="971.7"/>
    <n v="688.2"/>
    <n v="0.71"/>
    <n v="358"/>
    <n v="275.3"/>
    <n v="0.77"/>
    <n v="1329.7"/>
    <n v="963.5"/>
    <n v="0.72"/>
  </r>
  <r>
    <x v="2"/>
    <x v="10"/>
    <n v="935.3"/>
    <n v="618.5"/>
    <n v="0.66"/>
    <n v="347"/>
    <n v="249.8"/>
    <n v="0.72"/>
    <n v="1282.3"/>
    <n v="868.2"/>
    <n v="0.68"/>
  </r>
  <r>
    <x v="2"/>
    <x v="11"/>
    <n v="970.9"/>
    <n v="548"/>
    <n v="0.56000000000000005"/>
    <n v="354.5"/>
    <n v="238"/>
    <n v="0.67"/>
    <n v="1325.5"/>
    <n v="786"/>
    <n v="0.59"/>
  </r>
  <r>
    <x v="3"/>
    <x v="12"/>
    <n v="13112.1"/>
    <n v="10024.700000000001"/>
    <n v="0.76"/>
    <n v="4955.6000000000004"/>
    <n v="3989.5"/>
    <n v="0.81"/>
    <n v="18067.599999999999"/>
    <n v="14014.2"/>
    <n v="0.78"/>
  </r>
  <r>
    <x v="4"/>
    <x v="12"/>
    <n v="-5.6899999999999999E-2"/>
    <n v="-7.2700000000000001E-2"/>
    <n v="-1.67E-2"/>
    <n v="-3.2599999999999997E-2"/>
    <n v="-9.0800000000000006E-2"/>
    <n v="-6.0100000000000001E-2"/>
    <n v="-5.04E-2"/>
    <n v="-7.7899999999999997E-2"/>
    <n v="-2.9000000000000001E-2"/>
  </r>
  <r>
    <x v="5"/>
    <x v="0"/>
    <n v="974.8"/>
    <n v="580.20000000000005"/>
    <n v="0.6"/>
    <n v="350"/>
    <n v="231.7"/>
    <n v="0.66"/>
    <n v="1324.9"/>
    <n v="811.9"/>
    <n v="0.61"/>
  </r>
  <r>
    <x v="5"/>
    <x v="1"/>
    <n v="907.1"/>
    <n v="556.5"/>
    <n v="0.61"/>
    <n v="321.8"/>
    <n v="200.9"/>
    <n v="0.62"/>
    <n v="1228.9000000000001"/>
    <n v="757.5"/>
    <n v="0.62"/>
  </r>
  <r>
    <x v="5"/>
    <x v="2"/>
    <n v="1042.5999999999999"/>
    <n v="639"/>
    <n v="0.61"/>
    <n v="364.3"/>
    <n v="227.4"/>
    <n v="0.62"/>
    <n v="1406.9"/>
    <n v="866.4"/>
    <n v="0.62"/>
  </r>
  <r>
    <x v="5"/>
    <x v="3"/>
    <n v="1007.3"/>
    <n v="696.2"/>
    <n v="0.69"/>
    <n v="366.9"/>
    <n v="252.8"/>
    <n v="0.69"/>
    <n v="1374.2"/>
    <n v="949.1"/>
    <n v="0.69"/>
  </r>
  <r>
    <x v="5"/>
    <x v="4"/>
    <n v="1041.5"/>
    <n v="726.3"/>
    <n v="0.7"/>
    <n v="391.6"/>
    <n v="278.3"/>
    <n v="0.71"/>
    <n v="1433.1"/>
    <n v="1004.6"/>
    <n v="0.7"/>
  </r>
  <r>
    <x v="5"/>
    <x v="5"/>
    <n v="1062.7"/>
    <n v="707.2"/>
    <n v="0.67"/>
    <n v="394.2"/>
    <n v="277.10000000000002"/>
    <n v="0.7"/>
    <n v="1456.9"/>
    <n v="984.3"/>
    <n v="0.68"/>
  </r>
  <r>
    <x v="5"/>
    <x v="6"/>
    <n v="1108.9000000000001"/>
    <n v="781.6"/>
    <n v="0.7"/>
    <n v="415.1"/>
    <n v="300.89999999999998"/>
    <n v="0.72"/>
    <n v="1524"/>
    <n v="1082.4000000000001"/>
    <n v="0.71"/>
  </r>
  <r>
    <x v="5"/>
    <x v="7"/>
    <n v="1106.0999999999999"/>
    <n v="795"/>
    <n v="0.72"/>
    <n v="421"/>
    <n v="314.10000000000002"/>
    <n v="0.75"/>
    <n v="1527"/>
    <n v="1109.0999999999999"/>
    <n v="0.73"/>
  </r>
  <r>
    <x v="5"/>
    <x v="8"/>
    <n v="979.7"/>
    <n v="748.4"/>
    <n v="0.76"/>
    <n v="396.3"/>
    <n v="308.2"/>
    <n v="0.78"/>
    <n v="1376"/>
    <n v="1056.5999999999999"/>
    <n v="0.77"/>
  </r>
  <r>
    <x v="5"/>
    <x v="9"/>
    <n v="1053.8"/>
    <n v="850"/>
    <n v="0.81"/>
    <n v="405.1"/>
    <n v="340.7"/>
    <n v="0.84"/>
    <n v="1458.9"/>
    <n v="1190.7"/>
    <n v="0.82"/>
  </r>
  <r>
    <x v="5"/>
    <x v="10"/>
    <n v="989"/>
    <n v="758.4"/>
    <n v="0.77"/>
    <n v="367.5"/>
    <n v="299.89999999999998"/>
    <n v="0.82"/>
    <n v="1356.5"/>
    <n v="1058.3"/>
    <n v="0.78"/>
  </r>
  <r>
    <x v="5"/>
    <x v="11"/>
    <n v="1013.7"/>
    <n v="764"/>
    <n v="0.75"/>
    <n v="377.7"/>
    <n v="302.7"/>
    <n v="0.8"/>
    <n v="1391.4"/>
    <n v="1066.8"/>
    <n v="0.77"/>
  </r>
  <r>
    <x v="6"/>
    <x v="12"/>
    <n v="12287.2"/>
    <n v="8602.9"/>
    <n v="0.7"/>
    <n v="4571.6000000000004"/>
    <n v="3334.8"/>
    <n v="0.73"/>
    <n v="16858.7"/>
    <n v="11937.7"/>
    <n v="0.71"/>
  </r>
  <r>
    <x v="7"/>
    <x v="12"/>
    <n v="-6.2899999999999998E-2"/>
    <n v="-0.14180000000000001"/>
    <n v="-8.4199999999999997E-2"/>
    <n v="-7.7499999999999999E-2"/>
    <n v="-0.1641"/>
    <n v="-9.3899999999999997E-2"/>
    <n v="-6.6900000000000001E-2"/>
    <n v="-0.1482"/>
    <n v="-8.7099999999999997E-2"/>
  </r>
  <r>
    <x v="8"/>
    <x v="0"/>
    <n v="1027.5999999999999"/>
    <n v="855.2"/>
    <n v="0.83"/>
    <n v="377.8"/>
    <n v="339.5"/>
    <n v="0.9"/>
    <n v="1405.4"/>
    <n v="1194.7"/>
    <n v="0.85"/>
  </r>
  <r>
    <x v="8"/>
    <x v="1"/>
    <n v="928.9"/>
    <n v="815.4"/>
    <n v="0.88"/>
    <n v="329.9"/>
    <n v="313.5"/>
    <n v="0.95"/>
    <n v="1258.8"/>
    <n v="1128.9000000000001"/>
    <n v="0.9"/>
  </r>
  <r>
    <x v="8"/>
    <x v="2"/>
    <n v="1061.0999999999999"/>
    <n v="1050.7"/>
    <n v="0.99"/>
    <n v="374.2"/>
    <n v="360.1"/>
    <n v="0.96"/>
    <n v="1435.2"/>
    <n v="1410.9"/>
    <n v="0.98"/>
  </r>
  <r>
    <x v="8"/>
    <x v="3"/>
    <n v="996.2"/>
    <n v="828.1"/>
    <n v="0.83"/>
    <n v="338.1"/>
    <n v="309.3"/>
    <n v="0.91"/>
    <n v="1334.3"/>
    <n v="1137.4000000000001"/>
    <n v="0.85"/>
  </r>
  <r>
    <x v="8"/>
    <x v="4"/>
    <n v="1022.1"/>
    <n v="775.6"/>
    <n v="0.76"/>
    <n v="374.9"/>
    <n v="271.5"/>
    <n v="0.72"/>
    <n v="1397"/>
    <n v="1047.0999999999999"/>
    <n v="0.75"/>
  </r>
  <r>
    <x v="8"/>
    <x v="5"/>
    <n v="1041.0999999999999"/>
    <n v="778.6"/>
    <n v="0.75"/>
    <n v="361.6"/>
    <n v="287.8"/>
    <n v="0.8"/>
    <n v="1402.6"/>
    <n v="1066.4000000000001"/>
    <n v="0.76"/>
  </r>
  <r>
    <x v="8"/>
    <x v="6"/>
    <n v="1105.3"/>
    <n v="861.4"/>
    <n v="0.78"/>
    <n v="390.9"/>
    <n v="315.89999999999998"/>
    <n v="0.81"/>
    <n v="1496.3"/>
    <n v="1177.3"/>
    <n v="0.79"/>
  </r>
  <r>
    <x v="8"/>
    <x v="7"/>
    <n v="1103.2"/>
    <n v="909.9"/>
    <n v="0.82"/>
    <n v="401.5"/>
    <n v="338"/>
    <n v="0.84"/>
    <n v="1504.7"/>
    <n v="1247.9000000000001"/>
    <n v="0.83"/>
  </r>
  <r>
    <x v="8"/>
    <x v="8"/>
    <n v="993.6"/>
    <n v="796.5"/>
    <n v="0.8"/>
    <n v="389.5"/>
    <n v="317.10000000000002"/>
    <n v="0.81"/>
    <n v="1383.1"/>
    <n v="1113.5999999999999"/>
    <n v="0.81"/>
  </r>
  <r>
    <x v="8"/>
    <x v="9"/>
    <n v="1055"/>
    <n v="857.5"/>
    <n v="0.81"/>
    <n v="383.4"/>
    <n v="328.2"/>
    <n v="0.86"/>
    <n v="1438.5"/>
    <n v="1185.7"/>
    <n v="0.82"/>
  </r>
  <r>
    <x v="8"/>
    <x v="10"/>
    <n v="1007.5"/>
    <n v="844.7"/>
    <n v="0.84"/>
    <n v="360.4"/>
    <n v="317.5"/>
    <n v="0.88"/>
    <n v="1367.8"/>
    <n v="1162.2"/>
    <n v="0.85"/>
  </r>
  <r>
    <x v="8"/>
    <x v="11"/>
    <n v="1075.4000000000001"/>
    <n v="941.8"/>
    <n v="0.88"/>
    <n v="368.9"/>
    <n v="339.8"/>
    <n v="0.92"/>
    <n v="1444.3"/>
    <n v="1281.5999999999999"/>
    <n v="0.89"/>
  </r>
  <r>
    <x v="9"/>
    <x v="12"/>
    <n v="12417"/>
    <n v="10315.4"/>
    <n v="0.83"/>
    <n v="4451"/>
    <n v="3838.2"/>
    <n v="0.86"/>
    <n v="16868"/>
    <n v="14153.7"/>
    <n v="0.84"/>
  </r>
  <r>
    <x v="10"/>
    <x v="12"/>
    <n v="1.06E-2"/>
    <n v="0.1991"/>
    <n v="0.1865"/>
    <n v="-2.64E-2"/>
    <n v="0.151"/>
    <n v="0.18210000000000001"/>
    <n v="5.9999999999999995E-4"/>
    <n v="0.18559999999999999"/>
    <n v="0.185"/>
  </r>
  <r>
    <x v="11"/>
    <x v="0"/>
    <n v="1065.2"/>
    <n v="1008.2"/>
    <n v="0.95"/>
    <n v="371.3"/>
    <n v="368.9"/>
    <n v="0.99"/>
    <n v="1436.5"/>
    <n v="1377.1"/>
    <n v="0.96"/>
  </r>
  <r>
    <x v="11"/>
    <x v="1"/>
    <n v="1032.4000000000001"/>
    <n v="997.4"/>
    <n v="0.97"/>
    <n v="347.1"/>
    <n v="352.4"/>
    <n v="1.02"/>
    <n v="1379.5"/>
    <n v="1349.8"/>
    <n v="0.98"/>
  </r>
  <r>
    <x v="11"/>
    <x v="2"/>
    <n v="1140.5"/>
    <n v="1116.5"/>
    <n v="0.98"/>
    <n v="373.6"/>
    <n v="394.5"/>
    <n v="1.06"/>
    <n v="1514"/>
    <n v="1511"/>
    <n v="1"/>
  </r>
  <r>
    <x v="11"/>
    <x v="3"/>
    <n v="1094.4000000000001"/>
    <n v="1092.5"/>
    <n v="1"/>
    <n v="380.9"/>
    <n v="393.6"/>
    <n v="1.03"/>
    <n v="1475.4"/>
    <n v="1486.1"/>
    <n v="1.01"/>
  </r>
  <r>
    <x v="11"/>
    <x v="4"/>
    <n v="1120.4000000000001"/>
    <n v="1206.5"/>
    <n v="1.08"/>
    <n v="402.4"/>
    <n v="443.9"/>
    <n v="1.1000000000000001"/>
    <n v="1522.8"/>
    <n v="1650.5"/>
    <n v="1.08"/>
  </r>
  <r>
    <x v="11"/>
    <x v="5"/>
    <n v="1136.3"/>
    <n v="1218.3"/>
    <n v="1.07"/>
    <n v="413"/>
    <n v="465.8"/>
    <n v="1.1299999999999999"/>
    <n v="1549.3"/>
    <n v="1684.1"/>
    <n v="1.0900000000000001"/>
  </r>
  <r>
    <x v="11"/>
    <x v="6"/>
    <n v="1181.5999999999999"/>
    <n v="1309"/>
    <n v="1.1100000000000001"/>
    <n v="432.1"/>
    <n v="493.7"/>
    <n v="1.1399999999999999"/>
    <n v="1613.7"/>
    <n v="1802.8"/>
    <n v="1.1200000000000001"/>
  </r>
  <r>
    <x v="11"/>
    <x v="7"/>
    <n v="1185.4000000000001"/>
    <n v="1392"/>
    <n v="1.17"/>
    <n v="432.4"/>
    <n v="530.79999999999995"/>
    <n v="1.23"/>
    <n v="1617.8"/>
    <n v="1922.8"/>
    <n v="1.19"/>
  </r>
  <r>
    <x v="11"/>
    <x v="8"/>
    <n v="1058.2"/>
    <n v="1304.4000000000001"/>
    <n v="1.23"/>
    <n v="402.3"/>
    <n v="523.5"/>
    <n v="1.3"/>
    <n v="1460.5"/>
    <n v="1827.9"/>
    <n v="1.25"/>
  </r>
  <r>
    <x v="11"/>
    <x v="9"/>
    <n v="1137.9000000000001"/>
    <n v="1562.7"/>
    <n v="1.37"/>
    <n v="411.8"/>
    <n v="592.4"/>
    <n v="1.44"/>
    <n v="1549.8"/>
    <n v="2155.1999999999998"/>
    <n v="1.39"/>
  </r>
  <r>
    <x v="11"/>
    <x v="10"/>
    <n v="1084.8"/>
    <n v="1479.2"/>
    <n v="1.36"/>
    <n v="390.2"/>
    <n v="569.29999999999995"/>
    <n v="1.46"/>
    <n v="1475"/>
    <n v="2048.4"/>
    <n v="1.39"/>
  </r>
  <r>
    <x v="11"/>
    <x v="11"/>
    <n v="1142.8"/>
    <n v="1454.4"/>
    <n v="1.27"/>
    <n v="407.5"/>
    <n v="561.79999999999995"/>
    <n v="1.38"/>
    <n v="1550.3"/>
    <n v="2016.2"/>
    <n v="1.3"/>
  </r>
  <r>
    <x v="12"/>
    <x v="12"/>
    <n v="13380"/>
    <n v="15141.2"/>
    <n v="1.1299999999999999"/>
    <n v="4764.7"/>
    <n v="5690.7"/>
    <n v="1.19"/>
    <n v="18144.7"/>
    <n v="20831.900000000001"/>
    <n v="1.1499999999999999"/>
  </r>
  <r>
    <x v="13"/>
    <x v="12"/>
    <n v="7.7600000000000002E-2"/>
    <n v="0.46779999999999999"/>
    <n v="0.36220000000000002"/>
    <n v="7.0499999999999993E-2"/>
    <n v="0.48259999999999997"/>
    <n v="0.38500000000000001"/>
    <n v="7.5700000000000003E-2"/>
    <n v="0.4718"/>
    <n v="0.36830000000000002"/>
  </r>
  <r>
    <x v="14"/>
    <x v="0"/>
    <n v="1084.7"/>
    <n v="1378.2"/>
    <n v="1.27"/>
    <n v="405.2"/>
    <n v="538.70000000000005"/>
    <n v="1.33"/>
    <n v="1489.9"/>
    <n v="1916.9"/>
    <n v="1.29"/>
  </r>
  <r>
    <x v="14"/>
    <x v="1"/>
    <n v="1017"/>
    <n v="1333.5"/>
    <n v="1.31"/>
    <n v="368.3"/>
    <n v="503"/>
    <n v="1.37"/>
    <n v="1385.3"/>
    <n v="1836.5"/>
    <n v="1.33"/>
  </r>
  <r>
    <x v="14"/>
    <x v="2"/>
    <n v="1162.9000000000001"/>
    <n v="1675.5"/>
    <n v="1.44"/>
    <n v="424.1"/>
    <n v="604"/>
    <n v="1.42"/>
    <n v="1587"/>
    <n v="2279.4"/>
    <n v="1.44"/>
  </r>
  <r>
    <x v="14"/>
    <x v="3"/>
    <n v="1098.7"/>
    <n v="1705.3"/>
    <n v="1.55"/>
    <n v="410.4"/>
    <n v="698.8"/>
    <n v="1.7"/>
    <n v="1509.1"/>
    <n v="2404.1"/>
    <n v="1.59"/>
  </r>
  <r>
    <x v="14"/>
    <x v="4"/>
    <n v="1123.5999999999999"/>
    <n v="1699.2"/>
    <n v="1.51"/>
    <n v="426.1"/>
    <n v="700"/>
    <n v="1.64"/>
    <n v="1549.7"/>
    <n v="2399.1999999999998"/>
    <n v="1.55"/>
  </r>
  <r>
    <x v="14"/>
    <x v="5"/>
    <n v="1148.9000000000001"/>
    <n v="1777.3"/>
    <n v="1.55"/>
    <n v="441"/>
    <n v="709.6"/>
    <n v="1.61"/>
    <n v="1589.9"/>
    <n v="2486.9"/>
    <n v="1.56"/>
  </r>
  <r>
    <x v="14"/>
    <x v="6"/>
    <n v="1193.7"/>
    <n v="1915.2"/>
    <n v="1.6"/>
    <n v="460.9"/>
    <n v="785.7"/>
    <n v="1.7"/>
    <n v="1654.6"/>
    <n v="2701"/>
    <n v="1.63"/>
  </r>
  <r>
    <x v="14"/>
    <x v="7"/>
    <n v="1185.4000000000001"/>
    <n v="2118.3000000000002"/>
    <n v="1.79"/>
    <n v="456.7"/>
    <n v="816.1"/>
    <n v="1.79"/>
    <n v="1642.2"/>
    <n v="2934.3"/>
    <n v="1.79"/>
  </r>
  <r>
    <x v="14"/>
    <x v="8"/>
    <n v="1054.4000000000001"/>
    <n v="1986"/>
    <n v="1.88"/>
    <n v="421.9"/>
    <n v="829.2"/>
    <n v="1.97"/>
    <n v="1476.2"/>
    <n v="2815.2"/>
    <n v="1.91"/>
  </r>
  <r>
    <x v="14"/>
    <x v="9"/>
    <n v="1062"/>
    <n v="2280.4"/>
    <n v="2.15"/>
    <n v="417.1"/>
    <n v="886.5"/>
    <n v="2.13"/>
    <n v="1479.1"/>
    <n v="3166.9"/>
    <n v="2.14"/>
  </r>
  <r>
    <x v="14"/>
    <x v="10"/>
    <n v="1055.0999999999999"/>
    <n v="1961"/>
    <n v="1.86"/>
    <n v="393.3"/>
    <n v="783.7"/>
    <n v="1.99"/>
    <n v="1448.4"/>
    <n v="2744.6"/>
    <n v="1.89"/>
  </r>
  <r>
    <x v="14"/>
    <x v="11"/>
    <n v="1097.8"/>
    <n v="1853"/>
    <n v="1.69"/>
    <n v="415.3"/>
    <n v="745.6"/>
    <n v="1.8"/>
    <n v="1513.1"/>
    <n v="2598.6"/>
    <n v="1.72"/>
  </r>
  <r>
    <x v="15"/>
    <x v="12"/>
    <n v="13284.2"/>
    <n v="21682.9"/>
    <n v="1.63"/>
    <n v="5040.3"/>
    <n v="8600.7999999999993"/>
    <n v="1.71"/>
    <n v="18324.5"/>
    <n v="30283.7"/>
    <n v="1.65"/>
  </r>
  <r>
    <x v="16"/>
    <x v="12"/>
    <n v="-7.1999999999999998E-3"/>
    <n v="0.432"/>
    <n v="0.44240000000000002"/>
    <n v="5.7799999999999997E-2"/>
    <n v="0.51139999999999997"/>
    <n v="0.42870000000000003"/>
    <n v="9.9000000000000008E-3"/>
    <n v="0.45369999999999999"/>
    <n v="0.4395"/>
  </r>
  <r>
    <x v="17"/>
    <x v="0"/>
    <n v="1048"/>
    <n v="1874.3"/>
    <n v="1.79"/>
    <n v="411.2"/>
    <n v="748.2"/>
    <n v="1.82"/>
    <n v="1459.2"/>
    <n v="2622.6"/>
    <n v="1.8"/>
  </r>
  <r>
    <x v="17"/>
    <x v="1"/>
    <n v="967.2"/>
    <n v="1754.9"/>
    <n v="1.81"/>
    <n v="372.1"/>
    <n v="693.6"/>
    <n v="1.86"/>
    <n v="1339.3"/>
    <n v="2448.5"/>
    <n v="1.83"/>
  </r>
  <r>
    <x v="17"/>
    <x v="2"/>
    <n v="1118"/>
    <n v="2015.1"/>
    <n v="1.8"/>
    <n v="440.4"/>
    <n v="824"/>
    <n v="1.87"/>
    <n v="1558.4"/>
    <n v="2839.1"/>
    <n v="1.82"/>
  </r>
  <r>
    <x v="17"/>
    <x v="3"/>
    <n v="1070.8"/>
    <n v="2026.3"/>
    <n v="1.89"/>
    <n v="426.2"/>
    <n v="838.3"/>
    <n v="1.97"/>
    <n v="1497"/>
    <n v="2864.6"/>
    <n v="1.91"/>
  </r>
  <r>
    <x v="17"/>
    <x v="4"/>
    <n v="1084.9000000000001"/>
    <n v="2213"/>
    <n v="2.04"/>
    <n v="448.1"/>
    <n v="937.7"/>
    <n v="2.09"/>
    <n v="1533"/>
    <n v="3150.7"/>
    <n v="2.06"/>
  </r>
  <r>
    <x v="17"/>
    <x v="5"/>
    <n v="1117.3"/>
    <n v="2294.3000000000002"/>
    <n v="2.0499999999999998"/>
    <n v="437.9"/>
    <n v="955.2"/>
    <n v="2.1800000000000002"/>
    <n v="1555.3"/>
    <n v="3249.5"/>
    <n v="2.09"/>
  </r>
  <r>
    <x v="17"/>
    <x v="6"/>
    <n v="1141.9000000000001"/>
    <n v="2370.6999999999998"/>
    <n v="2.08"/>
    <n v="472.8"/>
    <n v="1023.5"/>
    <n v="2.16"/>
    <n v="1614.8"/>
    <n v="3394.2"/>
    <n v="2.1"/>
  </r>
  <r>
    <x v="17"/>
    <x v="7"/>
    <n v="1160.5"/>
    <n v="2460.3000000000002"/>
    <n v="2.12"/>
    <n v="474.4"/>
    <n v="1044"/>
    <n v="2.2000000000000002"/>
    <n v="1634.9"/>
    <n v="3504.3"/>
    <n v="2.14"/>
  </r>
  <r>
    <x v="17"/>
    <x v="8"/>
    <n v="1052"/>
    <n v="2091.6999999999998"/>
    <n v="1.99"/>
    <n v="441.3"/>
    <n v="954.7"/>
    <n v="2.16"/>
    <n v="1493.3"/>
    <n v="3046.4"/>
    <n v="2.04"/>
  </r>
  <r>
    <x v="17"/>
    <x v="9"/>
    <n v="1095.4000000000001"/>
    <n v="2041.9"/>
    <n v="1.86"/>
    <n v="440"/>
    <n v="887.2"/>
    <n v="2.02"/>
    <n v="1535.4"/>
    <n v="2929.1"/>
    <n v="1.91"/>
  </r>
  <r>
    <x v="17"/>
    <x v="10"/>
    <n v="1061.5999999999999"/>
    <n v="1914.8"/>
    <n v="1.8"/>
    <n v="423.8"/>
    <n v="800.3"/>
    <n v="1.89"/>
    <n v="1485.4"/>
    <n v="2715.1"/>
    <n v="1.83"/>
  </r>
  <r>
    <x v="17"/>
    <x v="11"/>
    <n v="1101.7"/>
    <n v="2048.1"/>
    <n v="1.86"/>
    <n v="432"/>
    <n v="828.4"/>
    <n v="1.92"/>
    <n v="1533.7"/>
    <n v="2876.5"/>
    <n v="1.88"/>
  </r>
  <r>
    <x v="18"/>
    <x v="12"/>
    <n v="13019.4"/>
    <n v="25105.4"/>
    <n v="1.93"/>
    <n v="5220.3"/>
    <n v="10535.2"/>
    <n v="2.02"/>
    <n v="18239.7"/>
    <n v="35640.6"/>
    <n v="1.95"/>
  </r>
  <r>
    <x v="19"/>
    <x v="12"/>
    <n v="-1.9900000000000001E-2"/>
    <n v="0.1578"/>
    <n v="0.18140000000000001"/>
    <n v="3.5700000000000003E-2"/>
    <n v="0.22489999999999999"/>
    <n v="0.1827"/>
    <n v="-4.5999999999999999E-3"/>
    <n v="0.1769"/>
    <n v="0.18240000000000001"/>
  </r>
  <r>
    <x v="20"/>
    <x v="0"/>
    <n v="1062.2"/>
    <n v="1929.7"/>
    <n v="1.82"/>
    <n v="431.5"/>
    <n v="821.4"/>
    <n v="1.9"/>
    <n v="1493.7"/>
    <n v="2751"/>
    <n v="1.84"/>
  </r>
  <r>
    <x v="20"/>
    <x v="1"/>
    <n v="970.1"/>
    <n v="1689.2"/>
    <n v="1.74"/>
    <n v="382.6"/>
    <n v="681.1"/>
    <n v="1.78"/>
    <n v="1352.6"/>
    <n v="2370.3000000000002"/>
    <n v="1.75"/>
  </r>
  <r>
    <x v="20"/>
    <x v="2"/>
    <n v="1113.2"/>
    <n v="2019.1"/>
    <n v="1.81"/>
    <n v="450.7"/>
    <n v="838.4"/>
    <n v="1.86"/>
    <n v="1563.9"/>
    <n v="2857.6"/>
    <n v="1.83"/>
  </r>
  <r>
    <x v="20"/>
    <x v="3"/>
    <n v="1075.9000000000001"/>
    <n v="2082.1"/>
    <n v="1.94"/>
    <n v="436.6"/>
    <n v="851.8"/>
    <n v="1.95"/>
    <n v="1512.5"/>
    <n v="2933.8"/>
    <n v="1.94"/>
  </r>
  <r>
    <x v="20"/>
    <x v="4"/>
    <n v="1101.8"/>
    <n v="2248.1999999999998"/>
    <n v="2.04"/>
    <n v="456.8"/>
    <n v="985"/>
    <n v="2.16"/>
    <n v="1558.5"/>
    <n v="3233.2"/>
    <n v="2.0699999999999998"/>
  </r>
  <r>
    <x v="20"/>
    <x v="5"/>
    <n v="1114.5"/>
    <n v="2255.3000000000002"/>
    <n v="2.02"/>
    <n v="468.4"/>
    <n v="982.2"/>
    <n v="2.1"/>
    <n v="1582.9"/>
    <n v="3237.5"/>
    <n v="2.0499999999999998"/>
  </r>
  <r>
    <x v="20"/>
    <x v="6"/>
    <n v="1143.2"/>
    <n v="2391.1999999999998"/>
    <n v="2.09"/>
    <n v="499.3"/>
    <n v="1062"/>
    <n v="2.13"/>
    <n v="1642.4"/>
    <n v="3453.3"/>
    <n v="2.1"/>
  </r>
  <r>
    <x v="20"/>
    <x v="7"/>
    <n v="1157.2"/>
    <n v="2455.4"/>
    <n v="2.12"/>
    <n v="496.1"/>
    <n v="1093.2"/>
    <n v="2.2000000000000002"/>
    <n v="1653.3"/>
    <n v="3548.6"/>
    <n v="2.15"/>
  </r>
  <r>
    <x v="20"/>
    <x v="8"/>
    <n v="1038.4000000000001"/>
    <n v="2183.8000000000002"/>
    <n v="2.1"/>
    <n v="455"/>
    <n v="977.7"/>
    <n v="2.15"/>
    <n v="1493.4"/>
    <n v="3161.4"/>
    <n v="2.12"/>
  </r>
  <r>
    <x v="20"/>
    <x v="9"/>
    <n v="1092"/>
    <n v="2404.1"/>
    <n v="2.2000000000000002"/>
    <n v="457.3"/>
    <n v="1044.0999999999999"/>
    <n v="2.2799999999999998"/>
    <n v="1549.4"/>
    <n v="3448.3"/>
    <n v="2.23"/>
  </r>
  <r>
    <x v="20"/>
    <x v="10"/>
    <n v="1047.5"/>
    <n v="2541.9"/>
    <n v="2.4300000000000002"/>
    <n v="435.1"/>
    <n v="1114"/>
    <n v="2.56"/>
    <n v="1482.5"/>
    <n v="3655.9"/>
    <n v="2.4700000000000002"/>
  </r>
  <r>
    <x v="20"/>
    <x v="11"/>
    <n v="1083"/>
    <n v="2699.9"/>
    <n v="2.4900000000000002"/>
    <n v="458.6"/>
    <n v="1234.0999999999999"/>
    <n v="2.69"/>
    <n v="1541.6"/>
    <n v="3934"/>
    <n v="2.5499999999999998"/>
  </r>
  <r>
    <x v="21"/>
    <x v="12"/>
    <n v="12998.8"/>
    <n v="26899.9"/>
    <n v="2.0699999999999998"/>
    <n v="5428"/>
    <n v="11685"/>
    <n v="2.15"/>
    <n v="18426.8"/>
    <n v="38584.9"/>
    <n v="2.09"/>
  </r>
  <r>
    <x v="22"/>
    <x v="12"/>
    <n v="-1.6000000000000001E-3"/>
    <n v="7.1499999999999994E-2"/>
    <n v="7.3200000000000001E-2"/>
    <n v="3.9800000000000002E-2"/>
    <n v="0.1091"/>
    <n v="6.6699999999999995E-2"/>
    <n v="1.03E-2"/>
    <n v="8.2600000000000007E-2"/>
    <n v="7.1599999999999997E-2"/>
  </r>
  <r>
    <x v="23"/>
    <x v="0"/>
    <n v="1071.5999999999999"/>
    <n v="2747.8"/>
    <n v="2.56"/>
    <n v="451.1"/>
    <n v="1229.4000000000001"/>
    <n v="2.73"/>
    <n v="1522.7"/>
    <n v="3977.2"/>
    <n v="2.61"/>
  </r>
  <r>
    <x v="23"/>
    <x v="1"/>
    <n v="1025.7"/>
    <n v="2613.4"/>
    <n v="2.5499999999999998"/>
    <n v="418.4"/>
    <n v="1119.0999999999999"/>
    <n v="2.67"/>
    <n v="1444.1"/>
    <n v="3732.5"/>
    <n v="2.58"/>
  </r>
  <r>
    <x v="23"/>
    <x v="2"/>
    <n v="1117.9000000000001"/>
    <n v="3197"/>
    <n v="2.86"/>
    <n v="461.7"/>
    <n v="1374.1"/>
    <n v="2.98"/>
    <n v="1579.6"/>
    <n v="4571.1000000000004"/>
    <n v="2.89"/>
  </r>
  <r>
    <x v="23"/>
    <x v="3"/>
    <n v="1059.5999999999999"/>
    <n v="3143.8"/>
    <n v="2.97"/>
    <n v="465.3"/>
    <n v="1443.6"/>
    <n v="3.1"/>
    <n v="1525"/>
    <n v="4587.5"/>
    <n v="3.01"/>
  </r>
  <r>
    <x v="23"/>
    <x v="4"/>
    <n v="1087.7"/>
    <n v="3465.6"/>
    <n v="3.19"/>
    <n v="481.7"/>
    <n v="1602.9"/>
    <n v="3.33"/>
    <n v="1569.4"/>
    <n v="5068.5"/>
    <n v="3.23"/>
  </r>
  <r>
    <x v="23"/>
    <x v="5"/>
    <n v="1094.8"/>
    <n v="3717.1"/>
    <n v="3.4"/>
    <n v="486.4"/>
    <n v="1752.1"/>
    <n v="3.6"/>
    <n v="1581.2"/>
    <n v="5469.2"/>
    <n v="3.46"/>
  </r>
  <r>
    <x v="23"/>
    <x v="6"/>
    <n v="1133"/>
    <n v="4184.2"/>
    <n v="3.69"/>
    <n v="510.8"/>
    <n v="2093.8000000000002"/>
    <n v="4.0999999999999996"/>
    <n v="1643.8"/>
    <n v="6278.1"/>
    <n v="3.82"/>
  </r>
  <r>
    <x v="23"/>
    <x v="7"/>
    <n v="1101.5"/>
    <n v="3747"/>
    <n v="3.4"/>
    <n v="502.4"/>
    <n v="1919.3"/>
    <n v="3.82"/>
    <n v="1603.9"/>
    <n v="5666.3"/>
    <n v="3.53"/>
  </r>
  <r>
    <x v="23"/>
    <x v="8"/>
    <n v="925.3"/>
    <n v="3083.8"/>
    <n v="3.33"/>
    <n v="448.8"/>
    <n v="1603.3"/>
    <n v="3.57"/>
    <n v="1374.1"/>
    <n v="4687.1000000000004"/>
    <n v="3.41"/>
  </r>
  <r>
    <x v="23"/>
    <x v="9"/>
    <n v="968.3"/>
    <n v="3088.5"/>
    <n v="3.19"/>
    <n v="444"/>
    <n v="1620.9"/>
    <n v="3.65"/>
    <n v="1412.3"/>
    <n v="4709.3"/>
    <n v="3.33"/>
  </r>
  <r>
    <x v="23"/>
    <x v="10"/>
    <n v="909.1"/>
    <n v="2276.1999999999998"/>
    <n v="2.5"/>
    <n v="411.1"/>
    <n v="1088.5"/>
    <n v="2.65"/>
    <n v="1320.2"/>
    <n v="3364.7"/>
    <n v="2.5499999999999998"/>
  </r>
  <r>
    <x v="23"/>
    <x v="11"/>
    <n v="975"/>
    <n v="1930.6"/>
    <n v="1.98"/>
    <n v="427.2"/>
    <n v="926.3"/>
    <n v="2.17"/>
    <n v="1402.2"/>
    <n v="2856.9"/>
    <n v="2.04"/>
  </r>
  <r>
    <x v="24"/>
    <x v="12"/>
    <n v="12469.4"/>
    <n v="37194.9"/>
    <n v="2.98"/>
    <n v="5508.9"/>
    <n v="17773.5"/>
    <n v="3.23"/>
    <n v="17978.400000000001"/>
    <n v="54968.4"/>
    <n v="3.06"/>
  </r>
  <r>
    <x v="25"/>
    <x v="12"/>
    <n v="-4.07E-2"/>
    <n v="0.38269999999999998"/>
    <n v="0.44140000000000001"/>
    <n v="1.49E-2"/>
    <n v="0.52110000000000001"/>
    <n v="0.49869999999999998"/>
    <n v="-2.4299999999999999E-2"/>
    <n v="0.42459999999999998"/>
    <n v="0.46010000000000001"/>
  </r>
  <r>
    <x v="26"/>
    <x v="0"/>
    <n v="922.1"/>
    <n v="1620.4"/>
    <n v="1.76"/>
    <n v="416.7"/>
    <n v="713.6"/>
    <n v="1.71"/>
    <n v="1338.9"/>
    <n v="2334"/>
    <n v="1.74"/>
  </r>
  <r>
    <x v="26"/>
    <x v="1"/>
    <n v="849.6"/>
    <n v="1567.3"/>
    <n v="1.84"/>
    <n v="369.6"/>
    <n v="677"/>
    <n v="1.83"/>
    <n v="1219.2"/>
    <n v="2244.3000000000002"/>
    <n v="1.84"/>
  </r>
  <r>
    <x v="26"/>
    <x v="2"/>
    <n v="966.3"/>
    <n v="1587"/>
    <n v="1.64"/>
    <n v="416.5"/>
    <n v="686.5"/>
    <n v="1.65"/>
    <n v="1382.8"/>
    <n v="2273.5"/>
    <n v="1.64"/>
  </r>
  <r>
    <x v="26"/>
    <x v="3"/>
    <n v="935.7"/>
    <n v="1629.3"/>
    <n v="1.74"/>
    <n v="417.3"/>
    <n v="727.4"/>
    <n v="1.74"/>
    <n v="1353"/>
    <n v="2356.6999999999998"/>
    <n v="1.74"/>
  </r>
  <r>
    <x v="26"/>
    <x v="4"/>
    <n v="949.3"/>
    <n v="1648.6"/>
    <n v="1.74"/>
    <n v="428.2"/>
    <n v="734"/>
    <n v="1.71"/>
    <n v="1377.4"/>
    <n v="2382.6"/>
    <n v="1.73"/>
  </r>
  <r>
    <x v="26"/>
    <x v="5"/>
    <n v="973.1"/>
    <n v="1853.4"/>
    <n v="1.9"/>
    <n v="470"/>
    <n v="855.6"/>
    <n v="1.82"/>
    <n v="1443.1"/>
    <n v="2709"/>
    <n v="1.88"/>
  </r>
  <r>
    <x v="26"/>
    <x v="6"/>
    <n v="1026.3"/>
    <n v="1961.2"/>
    <n v="1.91"/>
    <n v="494.7"/>
    <n v="930.9"/>
    <n v="1.88"/>
    <n v="1521"/>
    <n v="2892.1"/>
    <n v="1.9"/>
  </r>
  <r>
    <x v="26"/>
    <x v="7"/>
    <n v="969.5"/>
    <n v="1965.4"/>
    <n v="2.0299999999999998"/>
    <n v="458.6"/>
    <n v="914.9"/>
    <n v="1.99"/>
    <n v="1428.1"/>
    <n v="2880.3"/>
    <n v="2.02"/>
  </r>
  <r>
    <x v="26"/>
    <x v="8"/>
    <n v="870.8"/>
    <n v="1735.9"/>
    <n v="1.99"/>
    <n v="410.3"/>
    <n v="828.1"/>
    <n v="2.02"/>
    <n v="1281.0999999999999"/>
    <n v="2564"/>
    <n v="2"/>
  </r>
  <r>
    <x v="26"/>
    <x v="9"/>
    <n v="913.4"/>
    <n v="1821.3"/>
    <n v="1.99"/>
    <n v="411.4"/>
    <n v="798"/>
    <n v="1.94"/>
    <n v="1324.8"/>
    <n v="2619.3000000000002"/>
    <n v="1.98"/>
  </r>
  <r>
    <x v="26"/>
    <x v="10"/>
    <n v="845"/>
    <n v="1812.7"/>
    <n v="2.15"/>
    <n v="384.9"/>
    <n v="796.1"/>
    <n v="2.0699999999999998"/>
    <n v="1229.9000000000001"/>
    <n v="2608.8000000000002"/>
    <n v="2.12"/>
  </r>
  <r>
    <x v="26"/>
    <x v="11"/>
    <n v="926.5"/>
    <n v="1965.9"/>
    <n v="2.12"/>
    <n v="408.3"/>
    <n v="852.4"/>
    <n v="2.09"/>
    <n v="1334.8"/>
    <n v="2818.4"/>
    <n v="2.11"/>
  </r>
  <r>
    <x v="27"/>
    <x v="12"/>
    <n v="11147.4"/>
    <n v="21168.5"/>
    <n v="1.9"/>
    <n v="5086.6000000000004"/>
    <n v="9514.4"/>
    <n v="1.87"/>
    <n v="16234"/>
    <n v="30682.9"/>
    <n v="1.89"/>
  </r>
  <r>
    <x v="28"/>
    <x v="12"/>
    <n v="-0.106"/>
    <n v="-0.43090000000000001"/>
    <n v="-0.3634"/>
    <n v="-7.6700000000000004E-2"/>
    <n v="-0.4647"/>
    <n v="-0.42020000000000002"/>
    <n v="-9.7000000000000003E-2"/>
    <n v="-0.44180000000000003"/>
    <n v="-0.38179999999999997"/>
  </r>
  <r>
    <x v="29"/>
    <x v="0"/>
    <n v="872.7"/>
    <n v="1931.6"/>
    <n v="2.21"/>
    <n v="410"/>
    <n v="873.9"/>
    <n v="2.13"/>
    <n v="1282.7"/>
    <n v="2805.5"/>
    <n v="2.19"/>
  </r>
  <r>
    <x v="29"/>
    <x v="1"/>
    <n v="786.9"/>
    <n v="1696.7"/>
    <n v="2.16"/>
    <n v="361.5"/>
    <n v="771"/>
    <n v="2.13"/>
    <n v="1148.4000000000001"/>
    <n v="2467.6999999999998"/>
    <n v="2.15"/>
  </r>
  <r>
    <x v="29"/>
    <x v="2"/>
    <n v="928.2"/>
    <n v="2046"/>
    <n v="2.2000000000000002"/>
    <n v="423.7"/>
    <n v="911.9"/>
    <n v="2.15"/>
    <n v="1351.9"/>
    <n v="2957.9"/>
    <n v="2.19"/>
  </r>
  <r>
    <x v="29"/>
    <x v="3"/>
    <n v="900.9"/>
    <n v="2075.1999999999998"/>
    <n v="2.2999999999999998"/>
    <n v="410.5"/>
    <n v="928.4"/>
    <n v="2.2599999999999998"/>
    <n v="1311.3"/>
    <n v="3003.6"/>
    <n v="2.29"/>
  </r>
  <r>
    <x v="29"/>
    <x v="4"/>
    <n v="940"/>
    <n v="2189.6999999999998"/>
    <n v="2.33"/>
    <n v="453.7"/>
    <n v="1040.0999999999999"/>
    <n v="2.29"/>
    <n v="1393.6"/>
    <n v="3229.8"/>
    <n v="2.3199999999999998"/>
  </r>
  <r>
    <x v="29"/>
    <x v="5"/>
    <n v="959.8"/>
    <n v="2090.8000000000002"/>
    <n v="2.1800000000000002"/>
    <n v="468"/>
    <n v="1059.7"/>
    <n v="2.2599999999999998"/>
    <n v="1427.7"/>
    <n v="3150.5"/>
    <n v="2.21"/>
  </r>
  <r>
    <x v="29"/>
    <x v="6"/>
    <n v="1010.8"/>
    <n v="2235.3000000000002"/>
    <n v="2.21"/>
    <n v="495.9"/>
    <n v="1091.3"/>
    <n v="2.2000000000000002"/>
    <n v="1506.7"/>
    <n v="3326.6"/>
    <n v="2.21"/>
  </r>
  <r>
    <x v="29"/>
    <x v="7"/>
    <n v="994.4"/>
    <n v="2214.6"/>
    <n v="2.23"/>
    <n v="484.2"/>
    <n v="1069"/>
    <n v="2.21"/>
    <n v="1478.6"/>
    <n v="3283.6"/>
    <n v="2.2200000000000002"/>
  </r>
  <r>
    <x v="29"/>
    <x v="8"/>
    <n v="914.9"/>
    <n v="1996.9"/>
    <n v="2.1800000000000002"/>
    <n v="439.8"/>
    <n v="967.7"/>
    <n v="2.2000000000000002"/>
    <n v="1354.7"/>
    <n v="2964.6"/>
    <n v="2.19"/>
  </r>
  <r>
    <x v="29"/>
    <x v="9"/>
    <n v="925"/>
    <n v="2177.1"/>
    <n v="2.35"/>
    <n v="446.3"/>
    <n v="1042.7"/>
    <n v="2.34"/>
    <n v="1371.3"/>
    <n v="3219.8"/>
    <n v="2.35"/>
  </r>
  <r>
    <x v="29"/>
    <x v="10"/>
    <n v="891.7"/>
    <n v="2146.1999999999998"/>
    <n v="2.41"/>
    <n v="411.9"/>
    <n v="981.6"/>
    <n v="2.38"/>
    <n v="1303.5999999999999"/>
    <n v="3127.8"/>
    <n v="2.4"/>
  </r>
  <r>
    <x v="29"/>
    <x v="11"/>
    <n v="931.5"/>
    <n v="2303.5"/>
    <n v="2.4700000000000002"/>
    <n v="441.1"/>
    <n v="1090.7"/>
    <n v="2.4700000000000002"/>
    <n v="1372.6"/>
    <n v="3394.2"/>
    <n v="2.4700000000000002"/>
  </r>
  <r>
    <x v="30"/>
    <x v="12"/>
    <n v="11056.7"/>
    <n v="25103.4"/>
    <n v="2.27"/>
    <n v="5246.5"/>
    <n v="11828.1"/>
    <n v="2.25"/>
    <n v="16303.2"/>
    <n v="36931.599999999999"/>
    <n v="2.27"/>
  </r>
  <r>
    <x v="31"/>
    <x v="12"/>
    <n v="-8.0999999999999996E-3"/>
    <n v="0.18590000000000001"/>
    <n v="0.1956"/>
    <n v="3.1399999999999997E-2"/>
    <n v="0.2432"/>
    <n v="0.20530000000000001"/>
    <n v="4.3E-3"/>
    <n v="0.20369999999999999"/>
    <n v="0.19850000000000001"/>
  </r>
  <r>
    <x v="32"/>
    <x v="0"/>
    <n v="861.6"/>
    <n v="2272.1999999999998"/>
    <n v="2.64"/>
    <n v="448.2"/>
    <n v="1169.8"/>
    <n v="2.61"/>
    <n v="1309.8"/>
    <n v="3442"/>
    <n v="2.63"/>
  </r>
  <r>
    <x v="32"/>
    <x v="1"/>
    <n v="794.2"/>
    <n v="2206.1"/>
    <n v="2.78"/>
    <n v="395.1"/>
    <n v="1098.9000000000001"/>
    <n v="2.78"/>
    <n v="1189.3"/>
    <n v="3305"/>
    <n v="2.78"/>
  </r>
  <r>
    <x v="32"/>
    <x v="2"/>
    <n v="944"/>
    <n v="2858.6"/>
    <n v="3.03"/>
    <n v="466.6"/>
    <n v="1396"/>
    <n v="2.99"/>
    <n v="1410.5"/>
    <n v="4254.5"/>
    <n v="3.02"/>
  </r>
  <r>
    <x v="32"/>
    <x v="3"/>
    <n v="909.7"/>
    <n v="2919.7"/>
    <n v="3.21"/>
    <n v="460.6"/>
    <n v="1485.8"/>
    <n v="3.23"/>
    <n v="1370.4"/>
    <n v="4405.5"/>
    <n v="3.21"/>
  </r>
  <r>
    <x v="32"/>
    <x v="4"/>
    <n v="921.9"/>
    <n v="2993.1"/>
    <n v="3.25"/>
    <n v="476.1"/>
    <n v="1548.3"/>
    <n v="3.25"/>
    <n v="1398"/>
    <n v="4541.3999999999996"/>
    <n v="3.25"/>
  </r>
  <r>
    <x v="32"/>
    <x v="5"/>
    <n v="953.7"/>
    <n v="2984.1"/>
    <n v="3.13"/>
    <n v="494.9"/>
    <n v="1524.7"/>
    <n v="3.08"/>
    <n v="1448.6"/>
    <n v="4508.8"/>
    <n v="3.11"/>
  </r>
  <r>
    <x v="32"/>
    <x v="6"/>
    <n v="978.8"/>
    <n v="3042.7"/>
    <n v="3.11"/>
    <n v="528.29999999999995"/>
    <n v="1642.5"/>
    <n v="3.11"/>
    <n v="1507.2"/>
    <n v="4685.2"/>
    <n v="3.11"/>
  </r>
  <r>
    <x v="32"/>
    <x v="7"/>
    <n v="952.9"/>
    <n v="2978.3"/>
    <n v="3.13"/>
    <n v="508.1"/>
    <n v="1574.4"/>
    <n v="3.1"/>
    <n v="1461"/>
    <n v="4552.7"/>
    <n v="3.12"/>
  </r>
  <r>
    <x v="32"/>
    <x v="8"/>
    <n v="866.7"/>
    <n v="2752.4"/>
    <n v="3.18"/>
    <n v="453.1"/>
    <n v="1394.3"/>
    <n v="3.08"/>
    <n v="1319.8"/>
    <n v="4146.7"/>
    <n v="3.14"/>
  </r>
  <r>
    <x v="32"/>
    <x v="9"/>
    <n v="895"/>
    <n v="2684.7"/>
    <n v="3"/>
    <n v="443.7"/>
    <n v="1330.2"/>
    <n v="3"/>
    <n v="1338.8"/>
    <n v="4014.9"/>
    <n v="3"/>
  </r>
  <r>
    <x v="32"/>
    <x v="10"/>
    <n v="859.9"/>
    <n v="2664.2"/>
    <n v="3.1"/>
    <n v="409.7"/>
    <n v="1233.0999999999999"/>
    <n v="3.01"/>
    <n v="1269.7"/>
    <n v="3897.4"/>
    <n v="3.07"/>
  </r>
  <r>
    <x v="32"/>
    <x v="11"/>
    <n v="889.7"/>
    <n v="2742.9"/>
    <n v="3.08"/>
    <n v="436.5"/>
    <n v="1318.8"/>
    <n v="3.02"/>
    <n v="1326.2"/>
    <n v="4061.7"/>
    <n v="3.06"/>
  </r>
  <r>
    <x v="33"/>
    <x v="12"/>
    <n v="10828.3"/>
    <n v="33099"/>
    <n v="3.06"/>
    <n v="5521"/>
    <n v="16716.900000000001"/>
    <n v="3.03"/>
    <n v="16349.3"/>
    <n v="49815.9"/>
    <n v="3.05"/>
  </r>
  <r>
    <x v="34"/>
    <x v="12"/>
    <n v="-2.07E-2"/>
    <n v="0.31850000000000001"/>
    <n v="0.3463"/>
    <n v="5.2299999999999999E-2"/>
    <n v="0.4133"/>
    <n v="0.34310000000000002"/>
    <n v="2.8E-3"/>
    <n v="0.34889999999999999"/>
    <n v="0.34510000000000002"/>
  </r>
  <r>
    <x v="35"/>
    <x v="0"/>
    <n v="808.5"/>
    <n v="2538.5"/>
    <n v="3.14"/>
    <n v="444.2"/>
    <n v="1371.9"/>
    <n v="3.09"/>
    <n v="1252.7"/>
    <n v="3910.4"/>
    <n v="3.12"/>
  </r>
  <r>
    <x v="35"/>
    <x v="1"/>
    <n v="788.3"/>
    <n v="2559.6"/>
    <n v="3.25"/>
    <n v="419.6"/>
    <n v="1323"/>
    <n v="3.15"/>
    <n v="1207.9000000000001"/>
    <n v="3882.6"/>
    <n v="3.21"/>
  </r>
  <r>
    <x v="35"/>
    <x v="2"/>
    <n v="891.3"/>
    <n v="2966.7"/>
    <n v="3.33"/>
    <n v="473.6"/>
    <n v="1563"/>
    <n v="3.3"/>
    <n v="1364.9"/>
    <n v="4529.7"/>
    <n v="3.32"/>
  </r>
  <r>
    <x v="35"/>
    <x v="3"/>
    <n v="844.9"/>
    <n v="2825.1"/>
    <n v="3.34"/>
    <n v="456.5"/>
    <n v="1522.3"/>
    <n v="3.33"/>
    <n v="1301.5"/>
    <n v="4347.3999999999996"/>
    <n v="3.34"/>
  </r>
  <r>
    <x v="35"/>
    <x v="4"/>
    <n v="885"/>
    <n v="2867.4"/>
    <n v="3.24"/>
    <n v="487.3"/>
    <n v="1577"/>
    <n v="3.24"/>
    <n v="1372.3"/>
    <n v="4444.3999999999996"/>
    <n v="3.24"/>
  </r>
  <r>
    <x v="35"/>
    <x v="5"/>
    <n v="905.7"/>
    <n v="2708.8"/>
    <n v="2.99"/>
    <n v="498.2"/>
    <n v="1525"/>
    <n v="3.06"/>
    <n v="1403.9"/>
    <n v="4233.8"/>
    <n v="3.02"/>
  </r>
  <r>
    <x v="35"/>
    <x v="6"/>
    <n v="918.7"/>
    <n v="2716.2"/>
    <n v="2.96"/>
    <n v="523.5"/>
    <n v="1531"/>
    <n v="2.92"/>
    <n v="1442.2"/>
    <n v="4247.2"/>
    <n v="2.95"/>
  </r>
  <r>
    <x v="35"/>
    <x v="7"/>
    <n v="904.8"/>
    <n v="2796.6"/>
    <n v="3.09"/>
    <n v="516.20000000000005"/>
    <n v="1574.1"/>
    <n v="3.05"/>
    <n v="1421"/>
    <n v="4370.7"/>
    <n v="3.08"/>
  </r>
  <r>
    <x v="35"/>
    <x v="8"/>
    <n v="816.1"/>
    <n v="2660.3"/>
    <n v="3.26"/>
    <n v="462.3"/>
    <n v="1450.2"/>
    <n v="3.14"/>
    <n v="1278.4000000000001"/>
    <n v="4110.5"/>
    <n v="3.22"/>
  </r>
  <r>
    <x v="35"/>
    <x v="9"/>
    <n v="827.8"/>
    <n v="2728.7"/>
    <n v="3.3"/>
    <n v="459.3"/>
    <n v="1490.3"/>
    <n v="3.25"/>
    <n v="1287"/>
    <n v="4219"/>
    <n v="3.28"/>
  </r>
  <r>
    <x v="35"/>
    <x v="10"/>
    <n v="795.5"/>
    <n v="2525.9"/>
    <n v="3.18"/>
    <n v="433.7"/>
    <n v="1319.5"/>
    <n v="3.04"/>
    <n v="1229.0999999999999"/>
    <n v="3845.4"/>
    <n v="3.13"/>
  </r>
  <r>
    <x v="35"/>
    <x v="11"/>
    <n v="851.5"/>
    <n v="2662"/>
    <n v="3.13"/>
    <n v="446.9"/>
    <n v="1383.6"/>
    <n v="3.1"/>
    <n v="1298.4000000000001"/>
    <n v="4045.6"/>
    <n v="3.12"/>
  </r>
  <r>
    <x v="36"/>
    <x v="12"/>
    <n v="10238"/>
    <n v="32555.9"/>
    <n v="3.18"/>
    <n v="5621.2"/>
    <n v="17630.8"/>
    <n v="3.14"/>
    <n v="15859.2"/>
    <n v="50186.8"/>
    <n v="3.16"/>
  </r>
  <r>
    <x v="37"/>
    <x v="12"/>
    <n v="-5.45E-2"/>
    <n v="-1.6400000000000001E-2"/>
    <n v="4.0300000000000002E-2"/>
    <n v="1.8100000000000002E-2"/>
    <n v="5.4699999999999999E-2"/>
    <n v="3.5900000000000001E-2"/>
    <n v="-0.03"/>
    <n v="7.4000000000000003E-3"/>
    <n v="3.8600000000000002E-2"/>
  </r>
  <r>
    <x v="38"/>
    <x v="0"/>
    <n v="810"/>
    <n v="2530"/>
    <n v="3.12"/>
    <n v="450.1"/>
    <n v="1394"/>
    <n v="3.1"/>
    <n v="1260.0999999999999"/>
    <n v="3924"/>
    <n v="3.11"/>
  </r>
  <r>
    <x v="38"/>
    <x v="1"/>
    <n v="737.5"/>
    <n v="2422.4"/>
    <n v="3.28"/>
    <n v="403.6"/>
    <n v="1298.5"/>
    <n v="3.22"/>
    <n v="1141.0999999999999"/>
    <n v="3720.9"/>
    <n v="3.26"/>
  </r>
  <r>
    <x v="38"/>
    <x v="2"/>
    <n v="870.8"/>
    <n v="2789.2"/>
    <n v="3.2"/>
    <n v="469.1"/>
    <n v="1505.3"/>
    <n v="3.21"/>
    <n v="1339.9"/>
    <n v="4294.5"/>
    <n v="3.21"/>
  </r>
  <r>
    <x v="38"/>
    <x v="3"/>
    <n v="839.4"/>
    <n v="2560.4"/>
    <n v="3.05"/>
    <n v="466"/>
    <n v="1416.4"/>
    <n v="3.04"/>
    <n v="1305.4000000000001"/>
    <n v="3976.8"/>
    <n v="3.05"/>
  </r>
  <r>
    <x v="38"/>
    <x v="4"/>
    <n v="867.8"/>
    <n v="2532.8000000000002"/>
    <n v="2.92"/>
    <n v="493.1"/>
    <n v="1416.3"/>
    <n v="2.87"/>
    <n v="1360.9"/>
    <n v="3949.1"/>
    <n v="2.9"/>
  </r>
  <r>
    <x v="38"/>
    <x v="5"/>
    <n v="889.6"/>
    <n v="2579.9"/>
    <n v="2.9"/>
    <n v="508.8"/>
    <n v="1469.6"/>
    <n v="2.89"/>
    <n v="1398.5"/>
    <n v="4049.5"/>
    <n v="2.9"/>
  </r>
  <r>
    <x v="38"/>
    <x v="6"/>
    <n v="926.1"/>
    <n v="2699.1"/>
    <n v="2.91"/>
    <n v="539.29999999999995"/>
    <n v="1565"/>
    <n v="2.9"/>
    <n v="1465.3"/>
    <n v="4264.1000000000004"/>
    <n v="2.91"/>
  </r>
  <r>
    <x v="38"/>
    <x v="7"/>
    <n v="897.4"/>
    <n v="2737.3"/>
    <n v="3.05"/>
    <n v="545.5"/>
    <n v="1576.5"/>
    <n v="2.89"/>
    <n v="1442.9"/>
    <n v="4313.8"/>
    <n v="2.99"/>
  </r>
  <r>
    <x v="38"/>
    <x v="8"/>
    <n v="798.8"/>
    <n v="2464.4"/>
    <n v="3.09"/>
    <n v="471.9"/>
    <n v="1410.3"/>
    <n v="2.99"/>
    <n v="1270.7"/>
    <n v="3874.8"/>
    <n v="3.05"/>
  </r>
  <r>
    <x v="38"/>
    <x v="9"/>
    <n v="839.8"/>
    <n v="2557.6"/>
    <n v="3.05"/>
    <n v="486.2"/>
    <n v="1410.8"/>
    <n v="2.9"/>
    <n v="1326"/>
    <n v="3968.5"/>
    <n v="2.99"/>
  </r>
  <r>
    <x v="38"/>
    <x v="10"/>
    <n v="801.9"/>
    <n v="2423"/>
    <n v="3.02"/>
    <n v="450.9"/>
    <n v="1309.5999999999999"/>
    <n v="2.9"/>
    <n v="1252.7"/>
    <n v="3732.6"/>
    <n v="2.98"/>
  </r>
  <r>
    <x v="38"/>
    <x v="11"/>
    <n v="877.2"/>
    <n v="2656.4"/>
    <n v="3.03"/>
    <n v="464.1"/>
    <n v="1391.5"/>
    <n v="3"/>
    <n v="1341.3"/>
    <n v="4047.9"/>
    <n v="3.02"/>
  </r>
  <r>
    <x v="39"/>
    <x v="12"/>
    <n v="10156.1"/>
    <n v="30952.5"/>
    <n v="3.05"/>
    <n v="5748.6"/>
    <n v="17163.900000000001"/>
    <n v="2.99"/>
    <n v="15904.7"/>
    <n v="48116.4"/>
    <n v="3.03"/>
  </r>
  <r>
    <x v="40"/>
    <x v="12"/>
    <n v="-8.0000000000000002E-3"/>
    <n v="-4.9299999999999997E-2"/>
    <n v="-4.1599999999999998E-2"/>
    <n v="2.2700000000000001E-2"/>
    <n v="-2.6499999999999999E-2"/>
    <n v="-4.8099999999999997E-2"/>
    <n v="2.8999999999999998E-3"/>
    <n v="-4.1300000000000003E-2"/>
    <n v="-4.3999999999999997E-2"/>
  </r>
  <r>
    <x v="41"/>
    <x v="0"/>
    <n v="793.7"/>
    <n v="2453.9"/>
    <n v="3.09"/>
    <n v="470.3"/>
    <n v="1386.3"/>
    <n v="2.95"/>
    <n v="1264.0999999999999"/>
    <n v="3840.2"/>
    <n v="3.04"/>
  </r>
  <r>
    <x v="41"/>
    <x v="1"/>
    <n v="737.8"/>
    <n v="2246.3000000000002"/>
    <n v="3.04"/>
    <n v="406.6"/>
    <n v="1210.2"/>
    <n v="2.98"/>
    <n v="1144.5"/>
    <n v="3456.5"/>
    <n v="3.02"/>
  </r>
  <r>
    <x v="41"/>
    <x v="2"/>
    <n v="882.6"/>
    <n v="2651.2"/>
    <n v="3"/>
    <n v="486.5"/>
    <n v="1481.3"/>
    <n v="3.04"/>
    <n v="1369"/>
    <n v="4132.3999999999996"/>
    <n v="3.02"/>
  </r>
  <r>
    <x v="41"/>
    <x v="3"/>
    <n v="851.1"/>
    <n v="2536.1"/>
    <n v="2.98"/>
    <n v="474.5"/>
    <n v="1391.7"/>
    <n v="2.93"/>
    <n v="1325.6"/>
    <n v="3927.8"/>
    <n v="2.96"/>
  </r>
  <r>
    <x v="41"/>
    <x v="4"/>
    <n v="874"/>
    <n v="2612.6"/>
    <n v="2.99"/>
    <n v="509.5"/>
    <n v="1494.7"/>
    <n v="2.93"/>
    <n v="1383.5"/>
    <n v="4107.3"/>
    <n v="2.97"/>
  </r>
  <r>
    <x v="41"/>
    <x v="5"/>
    <n v="901.2"/>
    <n v="2677"/>
    <n v="2.97"/>
    <n v="529.6"/>
    <n v="1543.1"/>
    <n v="2.91"/>
    <n v="1430.8"/>
    <n v="4220"/>
    <n v="2.95"/>
  </r>
  <r>
    <x v="41"/>
    <x v="6"/>
    <n v="928.1"/>
    <n v="2783.3"/>
    <n v="3"/>
    <n v="570.1"/>
    <n v="1617.1"/>
    <n v="2.84"/>
    <n v="1498.2"/>
    <n v="4400.5"/>
    <n v="2.94"/>
  </r>
  <r>
    <x v="41"/>
    <x v="7"/>
    <n v="900.4"/>
    <n v="2685"/>
    <n v="2.98"/>
    <n v="559"/>
    <n v="1587.9"/>
    <n v="2.84"/>
    <n v="1459.3"/>
    <n v="4272.8999999999996"/>
    <n v="2.93"/>
  </r>
  <r>
    <x v="41"/>
    <x v="8"/>
    <n v="822.5"/>
    <n v="2376.8000000000002"/>
    <n v="2.89"/>
    <n v="489.6"/>
    <n v="1376.8"/>
    <n v="2.81"/>
    <n v="1312.2"/>
    <n v="3753.6"/>
    <n v="2.86"/>
  </r>
  <r>
    <x v="41"/>
    <x v="9"/>
    <n v="872.5"/>
    <n v="2349.1"/>
    <n v="2.69"/>
    <n v="483.9"/>
    <n v="1291.5999999999999"/>
    <n v="2.67"/>
    <n v="1356.4"/>
    <n v="3640.7"/>
    <n v="2.68"/>
  </r>
  <r>
    <x v="41"/>
    <x v="10"/>
    <n v="830"/>
    <n v="2138.3000000000002"/>
    <n v="2.58"/>
    <n v="445.1"/>
    <n v="1135.5999999999999"/>
    <n v="2.5499999999999998"/>
    <n v="1275.0999999999999"/>
    <n v="3273.9"/>
    <n v="2.57"/>
  </r>
  <r>
    <x v="41"/>
    <x v="11"/>
    <n v="898.9"/>
    <n v="2080.9"/>
    <n v="2.3199999999999998"/>
    <n v="474.8"/>
    <n v="1104.4000000000001"/>
    <n v="2.33"/>
    <n v="1373.6"/>
    <n v="3185.3"/>
    <n v="2.3199999999999998"/>
  </r>
  <r>
    <x v="42"/>
    <x v="12"/>
    <n v="10292.6"/>
    <n v="29590.5"/>
    <n v="2.87"/>
    <n v="5899.5"/>
    <n v="16620.7"/>
    <n v="2.82"/>
    <n v="16192.2"/>
    <n v="46211.1"/>
    <n v="2.85"/>
  </r>
  <r>
    <x v="43"/>
    <x v="12"/>
    <n v="1.34E-2"/>
    <n v="-4.3999999999999997E-2"/>
    <n v="-5.67E-2"/>
    <n v="2.63E-2"/>
    <n v="-3.1699999999999999E-2"/>
    <n v="-5.6399999999999999E-2"/>
    <n v="1.8100000000000002E-2"/>
    <n v="-3.9600000000000003E-2"/>
    <n v="-5.6599999999999998E-2"/>
  </r>
  <r>
    <x v="44"/>
    <x v="0"/>
    <n v="826.8"/>
    <n v="1600.8"/>
    <n v="1.94"/>
    <n v="474.1"/>
    <n v="964.6"/>
    <n v="2.0299999999999998"/>
    <n v="1300.9000000000001"/>
    <n v="2565.3000000000002"/>
    <n v="1.97"/>
  </r>
  <r>
    <x v="44"/>
    <x v="1"/>
    <n v="755"/>
    <n v="1683.1"/>
    <n v="2.23"/>
    <n v="419.8"/>
    <n v="1031.2"/>
    <n v="2.46"/>
    <n v="1174.8"/>
    <n v="2714.4"/>
    <n v="2.31"/>
  </r>
  <r>
    <x v="44"/>
    <x v="2"/>
    <n v="906.1"/>
    <n v="1818.2"/>
    <n v="2.0099999999999998"/>
    <n v="493"/>
    <n v="1021.1"/>
    <n v="2.0699999999999998"/>
    <n v="1399.1"/>
    <n v="2839.3"/>
    <n v="2.0299999999999998"/>
  </r>
  <r>
    <x v="44"/>
    <x v="3"/>
    <n v="884.1"/>
    <n v="1699.7"/>
    <n v="1.92"/>
    <n v="490.4"/>
    <n v="968.6"/>
    <n v="1.98"/>
    <n v="1374.4"/>
    <n v="2668.3"/>
    <n v="1.94"/>
  </r>
  <r>
    <x v="44"/>
    <x v="4"/>
    <n v="909.8"/>
    <n v="1901.9"/>
    <n v="2.09"/>
    <n v="522.70000000000005"/>
    <n v="1077.0999999999999"/>
    <n v="2.06"/>
    <n v="1432.5"/>
    <n v="2979"/>
    <n v="2.08"/>
  </r>
  <r>
    <x v="44"/>
    <x v="5"/>
    <n v="939"/>
    <n v="1915.3"/>
    <n v="2.04"/>
    <n v="538.79999999999995"/>
    <n v="1115.7"/>
    <n v="2.0699999999999998"/>
    <n v="1477.8"/>
    <n v="3031"/>
    <n v="2.0499999999999998"/>
  </r>
  <r>
    <x v="44"/>
    <x v="6"/>
    <n v="986.7"/>
    <n v="1803.6"/>
    <n v="1.83"/>
    <n v="568.5"/>
    <n v="1047.8"/>
    <n v="1.84"/>
    <n v="1555.1"/>
    <n v="2851.4"/>
    <n v="1.83"/>
  </r>
  <r>
    <x v="44"/>
    <x v="7"/>
    <n v="957.2"/>
    <n v="1605.2"/>
    <n v="1.68"/>
    <n v="557"/>
    <n v="936.5"/>
    <n v="1.68"/>
    <n v="1514.2"/>
    <n v="2541.6999999999998"/>
    <n v="1.68"/>
  </r>
  <r>
    <x v="44"/>
    <x v="8"/>
    <n v="857.1"/>
    <n v="1365.8"/>
    <n v="1.59"/>
    <n v="502.3"/>
    <n v="783.9"/>
    <n v="1.56"/>
    <n v="1359.4"/>
    <n v="2149.6"/>
    <n v="1.58"/>
  </r>
  <r>
    <x v="44"/>
    <x v="9"/>
    <n v="901.6"/>
    <n v="1472.6"/>
    <n v="1.63"/>
    <n v="491.8"/>
    <n v="820.2"/>
    <n v="1.67"/>
    <n v="1393.4"/>
    <n v="2292.8000000000002"/>
    <n v="1.65"/>
  </r>
  <r>
    <x v="44"/>
    <x v="10"/>
    <n v="871.9"/>
    <n v="1367.5"/>
    <n v="1.57"/>
    <n v="446.7"/>
    <n v="704.4"/>
    <n v="1.58"/>
    <n v="1318.6"/>
    <n v="2071.9"/>
    <n v="1.57"/>
  </r>
  <r>
    <x v="44"/>
    <x v="11"/>
    <n v="946.1"/>
    <n v="1366"/>
    <n v="1.44"/>
    <n v="483.2"/>
    <n v="727.1"/>
    <n v="1.5"/>
    <n v="1429.4"/>
    <n v="2093.1"/>
    <n v="1.46"/>
  </r>
  <r>
    <x v="45"/>
    <x v="12"/>
    <n v="10741.2"/>
    <n v="19599.599999999999"/>
    <n v="1.82"/>
    <n v="5988.3"/>
    <n v="11198.1"/>
    <n v="1.87"/>
    <n v="16729.599999999999"/>
    <n v="30797.8"/>
    <n v="1.84"/>
  </r>
  <r>
    <x v="46"/>
    <x v="12"/>
    <n v="4.36E-2"/>
    <n v="-0.33760000000000001"/>
    <n v="-0.36530000000000001"/>
    <n v="1.5100000000000001E-2"/>
    <n v="-0.32629999999999998"/>
    <n v="-0.3362"/>
    <n v="3.32E-2"/>
    <n v="-0.33350000000000002"/>
    <n v="-0.35499999999999998"/>
  </r>
  <r>
    <x v="47"/>
    <x v="0"/>
    <n v="855.7"/>
    <n v="1103.0999999999999"/>
    <n v="1.29"/>
    <n v="465.4"/>
    <n v="570"/>
    <n v="1.22"/>
    <n v="1321.1"/>
    <n v="1673.1"/>
    <n v="1.27"/>
  </r>
  <r>
    <x v="47"/>
    <x v="1"/>
    <n v="824.7"/>
    <n v="1020.9"/>
    <n v="1.24"/>
    <n v="419.3"/>
    <n v="478.9"/>
    <n v="1.1399999999999999"/>
    <n v="1244"/>
    <n v="1499.8"/>
    <n v="1.21"/>
  </r>
  <r>
    <x v="47"/>
    <x v="2"/>
    <n v="943.9"/>
    <n v="1207.9000000000001"/>
    <n v="1.28"/>
    <n v="483.2"/>
    <n v="586.29999999999995"/>
    <n v="1.21"/>
    <n v="1427.1"/>
    <n v="1794.2"/>
    <n v="1.26"/>
  </r>
  <r>
    <x v="47"/>
    <x v="3"/>
    <n v="903.4"/>
    <n v="1201.3"/>
    <n v="1.33"/>
    <n v="483.3"/>
    <n v="639"/>
    <n v="1.32"/>
    <n v="1386.7"/>
    <n v="1840.3"/>
    <n v="1.33"/>
  </r>
  <r>
    <x v="47"/>
    <x v="4"/>
    <n v="950.5"/>
    <n v="1359.4"/>
    <n v="1.43"/>
    <n v="510.8"/>
    <n v="708.1"/>
    <n v="1.39"/>
    <n v="1461.3"/>
    <n v="2067.5"/>
    <n v="1.41"/>
  </r>
  <r>
    <x v="47"/>
    <x v="5"/>
    <n v="992.2"/>
    <n v="1778.7"/>
    <n v="1.79"/>
    <n v="530"/>
    <n v="1000.8"/>
    <n v="1.89"/>
    <n v="1522.3"/>
    <n v="2779.4"/>
    <n v="1.83"/>
  </r>
  <r>
    <x v="47"/>
    <x v="6"/>
    <n v="1027.5999999999999"/>
    <n v="1540.6"/>
    <n v="1.5"/>
    <n v="559.4"/>
    <n v="824.7"/>
    <n v="1.47"/>
    <n v="1587"/>
    <n v="2365.3000000000002"/>
    <n v="1.49"/>
  </r>
  <r>
    <x v="47"/>
    <x v="7"/>
    <n v="1006.7"/>
    <n v="1450.8"/>
    <n v="1.44"/>
    <n v="546.29999999999995"/>
    <n v="789"/>
    <n v="1.44"/>
    <n v="1553"/>
    <n v="2239.8000000000002"/>
    <n v="1.44"/>
  </r>
  <r>
    <x v="47"/>
    <x v="8"/>
    <n v="897.3"/>
    <n v="1327.9"/>
    <n v="1.48"/>
    <n v="491.1"/>
    <n v="695.2"/>
    <n v="1.42"/>
    <n v="1388.3"/>
    <n v="2023.1"/>
    <n v="1.46"/>
  </r>
  <r>
    <x v="47"/>
    <x v="9"/>
    <n v="919.7"/>
    <n v="1459.8"/>
    <n v="1.59"/>
    <n v="482.5"/>
    <n v="739.2"/>
    <n v="1.53"/>
    <n v="1402.2"/>
    <n v="2199"/>
    <n v="1.57"/>
  </r>
  <r>
    <x v="47"/>
    <x v="10"/>
    <n v="886"/>
    <n v="1286.4000000000001"/>
    <n v="1.45"/>
    <n v="432.3"/>
    <n v="607"/>
    <n v="1.4"/>
    <n v="1318.3"/>
    <n v="1893.3"/>
    <n v="1.44"/>
  </r>
  <r>
    <x v="47"/>
    <x v="11"/>
    <n v="959.6"/>
    <n v="1543.1"/>
    <n v="1.61"/>
    <n v="473.7"/>
    <n v="736"/>
    <n v="1.55"/>
    <n v="1433.2"/>
    <n v="2279.1"/>
    <n v="1.59"/>
  </r>
  <r>
    <x v="48"/>
    <x v="12"/>
    <n v="11167.3"/>
    <n v="16279.9"/>
    <n v="1.46"/>
    <n v="5877.3"/>
    <n v="8374.1"/>
    <n v="1.42"/>
    <n v="17044.7"/>
    <n v="24654"/>
    <n v="1.45"/>
  </r>
  <r>
    <x v="49"/>
    <x v="12"/>
    <n v="3.9699999999999999E-2"/>
    <n v="-0.1694"/>
    <n v="-0.2011"/>
    <n v="-1.8499999999999999E-2"/>
    <n v="-0.25219999999999998"/>
    <n v="-0.23810000000000001"/>
    <n v="1.8800000000000001E-2"/>
    <n v="-0.19950000000000001"/>
    <n v="-0.21429999999999999"/>
  </r>
  <r>
    <x v="50"/>
    <x v="0"/>
    <n v="882.4"/>
    <n v="1451.9"/>
    <n v="1.65"/>
    <n v="460.9"/>
    <n v="753.1"/>
    <n v="1.63"/>
    <n v="1343.3"/>
    <n v="2205.1"/>
    <n v="1.64"/>
  </r>
  <r>
    <x v="50"/>
    <x v="1"/>
    <n v="804"/>
    <n v="1369.6"/>
    <n v="1.7"/>
    <n v="404"/>
    <n v="683.5"/>
    <n v="1.69"/>
    <n v="1208"/>
    <n v="2053.1"/>
    <n v="1.7"/>
  </r>
  <r>
    <x v="50"/>
    <x v="2"/>
    <n v="965"/>
    <n v="1590.9"/>
    <n v="1.65"/>
    <n v="481"/>
    <n v="792.7"/>
    <n v="1.65"/>
    <n v="1446.1"/>
    <n v="2383.6"/>
    <n v="1.65"/>
  </r>
  <r>
    <x v="50"/>
    <x v="3"/>
    <n v="919.2"/>
    <n v="1525.3"/>
    <n v="1.66"/>
    <n v="488.7"/>
    <n v="798.2"/>
    <n v="1.63"/>
    <n v="1408"/>
    <n v="2323.5"/>
    <n v="1.65"/>
  </r>
  <r>
    <x v="50"/>
    <x v="4"/>
    <n v="963.9"/>
    <n v="1544.5"/>
    <n v="1.6"/>
    <n v="523.20000000000005"/>
    <n v="839.9"/>
    <n v="1.61"/>
    <n v="1487.1"/>
    <n v="2384.5"/>
    <n v="1.6"/>
  </r>
  <r>
    <x v="50"/>
    <x v="5"/>
    <n v="1008.7"/>
    <n v="1546.7"/>
    <n v="1.53"/>
    <n v="544.9"/>
    <n v="843.1"/>
    <n v="1.55"/>
    <n v="1553.6"/>
    <n v="2389.8000000000002"/>
    <n v="1.54"/>
  </r>
  <r>
    <x v="50"/>
    <x v="6"/>
    <n v="1037.5"/>
    <n v="1610.9"/>
    <n v="1.55"/>
    <n v="573.6"/>
    <n v="883.8"/>
    <n v="1.54"/>
    <n v="1611.1"/>
    <n v="2494.6999999999998"/>
    <n v="1.55"/>
  </r>
  <r>
    <x v="50"/>
    <x v="7"/>
    <n v="1030.2"/>
    <n v="1696.2"/>
    <n v="1.65"/>
    <n v="559.1"/>
    <n v="898.6"/>
    <n v="1.61"/>
    <n v="1589.3"/>
    <n v="2594.8000000000002"/>
    <n v="1.63"/>
  </r>
  <r>
    <x v="50"/>
    <x v="8"/>
    <n v="879.4"/>
    <n v="1589.1"/>
    <n v="1.81"/>
    <n v="494.3"/>
    <n v="857.1"/>
    <n v="1.73"/>
    <n v="1373.6"/>
    <n v="2446.1"/>
    <n v="1.78"/>
  </r>
  <r>
    <x v="50"/>
    <x v="9"/>
    <n v="953.4"/>
    <n v="1735.7"/>
    <n v="1.82"/>
    <n v="495.4"/>
    <n v="896.6"/>
    <n v="1.81"/>
    <n v="1448.9"/>
    <n v="2632.3"/>
    <n v="1.82"/>
  </r>
  <r>
    <x v="50"/>
    <x v="10"/>
    <n v="921.7"/>
    <n v="1726.6"/>
    <n v="1.87"/>
    <n v="448.8"/>
    <n v="831.6"/>
    <n v="1.85"/>
    <n v="1370.5"/>
    <n v="2558.1999999999998"/>
    <n v="1.87"/>
  </r>
  <r>
    <x v="50"/>
    <x v="11"/>
    <n v="975"/>
    <n v="1862.6"/>
    <n v="1.91"/>
    <n v="480.8"/>
    <n v="923.4"/>
    <n v="1.92"/>
    <n v="1455.8"/>
    <n v="2785.9"/>
    <n v="1.91"/>
  </r>
  <r>
    <x v="51"/>
    <x v="12"/>
    <n v="11340.4"/>
    <n v="19250"/>
    <n v="1.7"/>
    <n v="5954.8"/>
    <n v="10001.6"/>
    <n v="1.68"/>
    <n v="17295.3"/>
    <n v="29251.599999999999"/>
    <n v="1.69"/>
  </r>
  <r>
    <x v="52"/>
    <x v="12"/>
    <n v="1.55E-2"/>
    <n v="0.18240000000000001"/>
    <n v="0.16439999999999999"/>
    <n v="1.32E-2"/>
    <n v="0.1943"/>
    <n v="0.17879999999999999"/>
    <n v="1.47E-2"/>
    <n v="0.1865"/>
    <n v="0.16930000000000001"/>
  </r>
  <r>
    <x v="53"/>
    <x v="0"/>
    <n v="910.7"/>
    <n v="1837.8"/>
    <n v="2.02"/>
    <n v="468.6"/>
    <n v="946.5"/>
    <n v="2.02"/>
    <n v="1379.3"/>
    <n v="2784.3"/>
    <n v="2.02"/>
  </r>
  <r>
    <x v="53"/>
    <x v="1"/>
    <n v="850.9"/>
    <n v="1721.2"/>
    <n v="2.02"/>
    <n v="416.4"/>
    <n v="852.6"/>
    <n v="2.0499999999999998"/>
    <n v="1267.4000000000001"/>
    <n v="2573.8000000000002"/>
    <n v="2.0299999999999998"/>
  </r>
  <r>
    <x v="53"/>
    <x v="2"/>
    <n v="990.3"/>
    <n v="1936.7"/>
    <n v="1.96"/>
    <n v="492.7"/>
    <n v="977.1"/>
    <n v="1.98"/>
    <n v="1483"/>
    <n v="2913.9"/>
    <n v="1.96"/>
  </r>
  <r>
    <x v="53"/>
    <x v="3"/>
    <n v="965.4"/>
    <n v="2005.5"/>
    <n v="2.08"/>
    <n v="489.7"/>
    <n v="1024.9000000000001"/>
    <n v="2.09"/>
    <n v="1455.1"/>
    <n v="3030.4"/>
    <n v="2.08"/>
  </r>
  <r>
    <x v="53"/>
    <x v="4"/>
    <n v="1011.8"/>
    <n v="2209.9"/>
    <n v="2.1800000000000002"/>
    <n v="531.29999999999995"/>
    <n v="1163"/>
    <n v="2.19"/>
    <n v="1543.1"/>
    <n v="3372.8"/>
    <n v="2.19"/>
  </r>
  <r>
    <x v="53"/>
    <x v="5"/>
    <n v="1038.5999999999999"/>
    <n v="2288.3000000000002"/>
    <n v="2.2000000000000002"/>
    <n v="548.5"/>
    <n v="1222.2"/>
    <n v="2.23"/>
    <n v="1587.2"/>
    <n v="3510.5"/>
    <n v="2.21"/>
  </r>
  <r>
    <x v="53"/>
    <x v="6"/>
    <n v="1078.4000000000001"/>
    <n v="2365.1"/>
    <n v="2.19"/>
    <n v="575.79999999999995"/>
    <n v="1277.8"/>
    <n v="2.2200000000000002"/>
    <n v="1654.2"/>
    <n v="3643"/>
    <n v="2.2000000000000002"/>
  </r>
  <r>
    <x v="53"/>
    <x v="7"/>
    <n v="1071.0999999999999"/>
    <n v="2349.1999999999998"/>
    <n v="2.19"/>
    <n v="559.5"/>
    <n v="1231.5"/>
    <n v="2.2000000000000002"/>
    <n v="1630.6"/>
    <n v="3580.7"/>
    <n v="2.2000000000000002"/>
  </r>
  <r>
    <x v="53"/>
    <x v="8"/>
    <n v="950.1"/>
    <n v="2104.8000000000002"/>
    <n v="2.2200000000000002"/>
    <n v="503"/>
    <n v="1127.3"/>
    <n v="2.2400000000000002"/>
    <n v="1453.1"/>
    <n v="3232.1"/>
    <n v="2.2200000000000002"/>
  </r>
  <r>
    <x v="53"/>
    <x v="9"/>
    <n v="1003.8"/>
    <n v="2350.6999999999998"/>
    <n v="2.34"/>
    <n v="501.4"/>
    <n v="1184.8"/>
    <n v="2.36"/>
    <n v="1505.2"/>
    <n v="3535.4"/>
    <n v="2.35"/>
  </r>
  <r>
    <x v="53"/>
    <x v="10"/>
    <n v="970.6"/>
    <n v="2186.1"/>
    <n v="2.25"/>
    <n v="450.6"/>
    <n v="1037.7"/>
    <n v="2.2999999999999998"/>
    <n v="1421.2"/>
    <n v="3223.9"/>
    <n v="2.27"/>
  </r>
  <r>
    <x v="53"/>
    <x v="11"/>
    <n v="1006.7"/>
    <n v="2047.3"/>
    <n v="2.0299999999999998"/>
    <n v="482.6"/>
    <n v="1014.7"/>
    <n v="2.1"/>
    <n v="1489.2"/>
    <n v="3062"/>
    <n v="2.06"/>
  </r>
  <r>
    <x v="54"/>
    <x v="12"/>
    <n v="11848.5"/>
    <n v="25402.7"/>
    <n v="2.14"/>
    <n v="6020.1"/>
    <n v="13060.1"/>
    <n v="2.17"/>
    <n v="17868.599999999999"/>
    <n v="38462.800000000003"/>
    <n v="2.15"/>
  </r>
  <r>
    <x v="55"/>
    <x v="12"/>
    <n v="4.48E-2"/>
    <n v="0.3196"/>
    <n v="0.26300000000000001"/>
    <n v="1.0999999999999999E-2"/>
    <n v="0.30580000000000002"/>
    <n v="0.29160000000000003"/>
    <n v="3.32E-2"/>
    <n v="0.31490000000000001"/>
    <n v="0.2727"/>
  </r>
  <r>
    <x v="56"/>
    <x v="0"/>
    <n v="947.7"/>
    <n v="1808.5"/>
    <n v="1.91"/>
    <n v="475.8"/>
    <n v="908.2"/>
    <n v="1.91"/>
    <n v="1423.5"/>
    <n v="2716.7"/>
    <n v="1.91"/>
  </r>
  <r>
    <x v="56"/>
    <x v="1"/>
    <n v="874.7"/>
    <n v="1741"/>
    <n v="1.99"/>
    <n v="415.9"/>
    <n v="819.8"/>
    <n v="1.97"/>
    <n v="1290.5999999999999"/>
    <n v="2560.8000000000002"/>
    <n v="1.98"/>
  </r>
  <r>
    <x v="56"/>
    <x v="2"/>
    <n v="1031.9000000000001"/>
    <n v="2087"/>
    <n v="2.02"/>
    <n v="494.4"/>
    <n v="1003.5"/>
    <n v="2.0299999999999998"/>
    <n v="1526.2"/>
    <n v="3090.4"/>
    <n v="2.02"/>
  </r>
  <r>
    <x v="56"/>
    <x v="3"/>
    <n v="992.3"/>
    <n v="2042.2"/>
    <n v="2.06"/>
    <n v="493.8"/>
    <n v="1013"/>
    <n v="2.0499999999999998"/>
    <n v="1486.1"/>
    <n v="3055.1"/>
    <n v="2.06"/>
  </r>
  <r>
    <x v="56"/>
    <x v="4"/>
    <n v="1047.0999999999999"/>
    <n v="2217.3000000000002"/>
    <n v="2.12"/>
    <n v="536.5"/>
    <n v="1127.8"/>
    <n v="2.1"/>
    <n v="1583.6"/>
    <n v="3345.1"/>
    <n v="2.11"/>
  </r>
  <r>
    <x v="56"/>
    <x v="5"/>
    <n v="1060.0999999999999"/>
    <n v="2115.1"/>
    <n v="2"/>
    <n v="555.20000000000005"/>
    <n v="1129.4000000000001"/>
    <n v="2.0299999999999998"/>
    <n v="1615.3"/>
    <n v="3244.5"/>
    <n v="2.0099999999999998"/>
  </r>
  <r>
    <x v="56"/>
    <x v="6"/>
    <n v="1099.7"/>
    <n v="2185.9"/>
    <n v="1.99"/>
    <n v="576.1"/>
    <n v="1138.3"/>
    <n v="1.98"/>
    <n v="1675.8"/>
    <n v="3324.1"/>
    <n v="1.98"/>
  </r>
  <r>
    <x v="56"/>
    <x v="7"/>
    <n v="1089.5"/>
    <n v="2110.8000000000002"/>
    <n v="1.94"/>
    <n v="563.9"/>
    <n v="1101.5999999999999"/>
    <n v="1.95"/>
    <n v="1653.3"/>
    <n v="3212.3"/>
    <n v="1.94"/>
  </r>
  <r>
    <x v="56"/>
    <x v="8"/>
    <n v="962.6"/>
    <n v="1888.5"/>
    <n v="1.96"/>
    <n v="514"/>
    <n v="1002.1"/>
    <n v="1.95"/>
    <n v="1476.6"/>
    <n v="2890.6"/>
    <n v="1.96"/>
  </r>
  <r>
    <x v="56"/>
    <x v="9"/>
    <n v="1033"/>
    <n v="2035"/>
    <n v="1.97"/>
    <n v="508.8"/>
    <n v="1001.2"/>
    <n v="1.97"/>
    <n v="1541.8"/>
    <n v="3036.2"/>
    <n v="1.97"/>
  </r>
  <r>
    <x v="56"/>
    <x v="10"/>
    <n v="986.5"/>
    <n v="1966.6"/>
    <n v="1.99"/>
    <n v="457.7"/>
    <n v="904.1"/>
    <n v="1.98"/>
    <n v="1444.2"/>
    <n v="2870.7"/>
    <n v="1.99"/>
  </r>
  <r>
    <x v="56"/>
    <x v="11"/>
    <n v="1059"/>
    <n v="2131.1"/>
    <n v="2.0099999999999998"/>
    <n v="493"/>
    <n v="979.5"/>
    <n v="1.99"/>
    <n v="1552.1"/>
    <n v="3110.5"/>
    <n v="2"/>
  </r>
  <r>
    <x v="57"/>
    <x v="12"/>
    <n v="12184"/>
    <n v="24328.799999999999"/>
    <n v="2"/>
    <n v="6085.1"/>
    <n v="12128.3"/>
    <n v="1.99"/>
    <n v="18269"/>
    <n v="36457.1"/>
    <n v="2"/>
  </r>
  <r>
    <x v="58"/>
    <x v="12"/>
    <n v="2.8299999999999999E-2"/>
    <n v="-4.2299999999999997E-2"/>
    <n v="-6.8599999999999994E-2"/>
    <n v="1.0800000000000001E-2"/>
    <n v="-7.1300000000000002E-2"/>
    <n v="-8.1299999999999997E-2"/>
    <n v="2.24E-2"/>
    <n v="-5.21E-2"/>
    <n v="-7.2900000000000006E-2"/>
  </r>
  <r>
    <x v="59"/>
    <x v="0"/>
    <n v="982.3"/>
    <n v="1950.1"/>
    <n v="1.99"/>
    <n v="478.5"/>
    <n v="944.9"/>
    <n v="1.97"/>
    <n v="1460.9"/>
    <n v="2895"/>
    <n v="1.98"/>
  </r>
  <r>
    <x v="59"/>
    <x v="1"/>
    <n v="926.9"/>
    <n v="1663.1"/>
    <n v="1.79"/>
    <n v="402.1"/>
    <n v="739.5"/>
    <n v="1.84"/>
    <n v="1329"/>
    <n v="2402.6"/>
    <n v="1.81"/>
  </r>
  <r>
    <x v="59"/>
    <x v="2"/>
    <n v="848.2"/>
    <n v="1238.7"/>
    <n v="1.46"/>
    <n v="320.2"/>
    <n v="485.3"/>
    <n v="1.52"/>
    <n v="1168.4000000000001"/>
    <n v="1723.9"/>
    <n v="1.48"/>
  </r>
  <r>
    <x v="59"/>
    <x v="3"/>
    <n v="313"/>
    <n v="455.1"/>
    <n v="1.45"/>
    <n v="133.80000000000001"/>
    <n v="162.4"/>
    <n v="1.21"/>
    <n v="446.9"/>
    <n v="617.5"/>
    <n v="1.38"/>
  </r>
  <r>
    <x v="59"/>
    <x v="4"/>
    <n v="297"/>
    <n v="316.3"/>
    <n v="1.07"/>
    <n v="156.4"/>
    <n v="149.69999999999999"/>
    <n v="0.96"/>
    <n v="453.4"/>
    <n v="466.1"/>
    <n v="1.03"/>
  </r>
  <r>
    <x v="59"/>
    <x v="5"/>
    <n v="393.5"/>
    <n v="442.9"/>
    <n v="1.1299999999999999"/>
    <n v="164.4"/>
    <n v="161"/>
    <n v="0.98"/>
    <n v="558"/>
    <n v="603.9"/>
    <n v="1.08"/>
  </r>
  <r>
    <x v="59"/>
    <x v="6"/>
    <n v="565.70000000000005"/>
    <n v="666.1"/>
    <n v="1.18"/>
    <n v="197.4"/>
    <n v="228.8"/>
    <n v="1.1599999999999999"/>
    <n v="763.1"/>
    <n v="894.8"/>
    <n v="1.17"/>
  </r>
  <r>
    <x v="59"/>
    <x v="7"/>
    <n v="589.1"/>
    <n v="714"/>
    <n v="1.21"/>
    <n v="212.5"/>
    <n v="254.6"/>
    <n v="1.2"/>
    <n v="801.6"/>
    <n v="968.6"/>
    <n v="1.21"/>
  </r>
  <r>
    <x v="59"/>
    <x v="8"/>
    <n v="508.5"/>
    <n v="599"/>
    <n v="1.18"/>
    <n v="219.4"/>
    <n v="253.3"/>
    <n v="1.1499999999999999"/>
    <n v="727.9"/>
    <n v="852.3"/>
    <n v="1.17"/>
  </r>
  <r>
    <x v="59"/>
    <x v="9"/>
    <n v="568.9"/>
    <n v="650.5"/>
    <n v="1.1399999999999999"/>
    <n v="238.5"/>
    <n v="267"/>
    <n v="1.1200000000000001"/>
    <n v="807.4"/>
    <n v="917.5"/>
    <n v="1.1399999999999999"/>
  </r>
  <r>
    <x v="59"/>
    <x v="10"/>
    <n v="593"/>
    <n v="717.9"/>
    <n v="1.21"/>
    <n v="251.6"/>
    <n v="295"/>
    <n v="1.17"/>
    <n v="844.6"/>
    <n v="1012.9"/>
    <n v="1.2"/>
  </r>
  <r>
    <x v="59"/>
    <x v="11"/>
    <n v="646.70000000000005"/>
    <n v="953"/>
    <n v="1.47"/>
    <n v="271.8"/>
    <n v="379.3"/>
    <n v="1.4"/>
    <n v="918.4"/>
    <n v="1332.3"/>
    <n v="1.45"/>
  </r>
  <r>
    <x v="60"/>
    <x v="12"/>
    <n v="7232.9"/>
    <n v="10366.700000000001"/>
    <n v="1.43"/>
    <n v="3046.7"/>
    <n v="4320.8"/>
    <n v="1.42"/>
    <n v="10279.5"/>
    <n v="14687.5"/>
    <n v="1.43"/>
  </r>
  <r>
    <x v="61"/>
    <x v="12"/>
    <n v="-0.40639999999999998"/>
    <n v="-0.57389999999999997"/>
    <n v="-0.28220000000000001"/>
    <n v="-0.49930000000000002"/>
    <n v="-0.64370000000000005"/>
    <n v="-0.28839999999999999"/>
    <n v="-0.43730000000000002"/>
    <n v="-0.59709999999999996"/>
    <n v="-0.28399999999999997"/>
  </r>
  <r>
    <x v="62"/>
    <x v="0"/>
    <n v="579"/>
    <n v="877.7"/>
    <n v="1.52"/>
    <n v="265.2"/>
    <n v="394.4"/>
    <n v="1.49"/>
    <n v="844.2"/>
    <n v="1272.0999999999999"/>
    <n v="1.51"/>
  </r>
  <r>
    <x v="62"/>
    <x v="1"/>
    <n v="525.79999999999995"/>
    <n v="848.4"/>
    <n v="1.61"/>
    <n v="230.7"/>
    <n v="359.5"/>
    <n v="1.56"/>
    <n v="756.5"/>
    <n v="1207.9000000000001"/>
    <n v="1.6"/>
  </r>
  <r>
    <x v="62"/>
    <x v="2"/>
    <n v="713.6"/>
    <n v="1333.4"/>
    <n v="1.87"/>
    <n v="289.7"/>
    <n v="520.4"/>
    <n v="1.8"/>
    <n v="1003.3"/>
    <n v="1853.8"/>
    <n v="1.85"/>
  </r>
  <r>
    <x v="62"/>
    <x v="3"/>
    <n v="739.8"/>
    <n v="1302.5"/>
    <n v="1.76"/>
    <n v="300.2"/>
    <n v="519.79999999999995"/>
    <n v="1.73"/>
    <n v="1040"/>
    <n v="1822.4"/>
    <n v="1.75"/>
  </r>
  <r>
    <x v="62"/>
    <x v="4"/>
    <n v="819.4"/>
    <n v="1632.7"/>
    <n v="1.99"/>
    <n v="318.60000000000002"/>
    <n v="618.29999999999995"/>
    <n v="1.94"/>
    <n v="1138"/>
    <n v="2251"/>
    <n v="1.98"/>
  </r>
  <r>
    <x v="62"/>
    <x v="5"/>
    <n v="897.7"/>
    <n v="1824.9"/>
    <n v="2.0299999999999998"/>
    <n v="332"/>
    <n v="655.8"/>
    <n v="1.98"/>
    <n v="1229.7"/>
    <n v="2480.6999999999998"/>
    <n v="2.02"/>
  </r>
  <r>
    <x v="62"/>
    <x v="6"/>
    <n v="993.7"/>
    <n v="1978.3"/>
    <n v="1.99"/>
    <n v="354.5"/>
    <n v="704.1"/>
    <n v="1.99"/>
    <n v="1348.2"/>
    <n v="2682.3"/>
    <n v="1.99"/>
  </r>
  <r>
    <x v="62"/>
    <x v="7"/>
    <n v="965.2"/>
    <n v="1907.9"/>
    <n v="1.98"/>
    <n v="357.7"/>
    <n v="701.9"/>
    <n v="1.96"/>
    <n v="1322.9"/>
    <n v="2609.8000000000002"/>
    <n v="1.97"/>
  </r>
  <r>
    <x v="62"/>
    <x v="8"/>
    <n v="884.3"/>
    <n v="1773.3"/>
    <n v="2.0099999999999998"/>
    <n v="338.8"/>
    <n v="659.3"/>
    <n v="1.95"/>
    <n v="1223.0999999999999"/>
    <n v="2432.6"/>
    <n v="1.99"/>
  </r>
  <r>
    <x v="62"/>
    <x v="9"/>
    <n v="927.8"/>
    <n v="2078"/>
    <n v="2.2400000000000002"/>
    <n v="348.9"/>
    <n v="771.8"/>
    <n v="2.21"/>
    <n v="1276.7"/>
    <n v="2849.9"/>
    <n v="2.23"/>
  </r>
  <r>
    <x v="62"/>
    <x v="10"/>
    <n v="915.1"/>
    <n v="2109.4"/>
    <n v="2.31"/>
    <n v="339.6"/>
    <n v="789.7"/>
    <n v="2.33"/>
    <n v="1254.7"/>
    <n v="2899.1"/>
    <n v="2.31"/>
  </r>
  <r>
    <x v="62"/>
    <x v="11"/>
    <n v="976.5"/>
    <n v="2085"/>
    <n v="2.14"/>
    <n v="371.6"/>
    <n v="793.2"/>
    <n v="2.13"/>
    <n v="1348.1"/>
    <n v="2878.2"/>
    <n v="2.14"/>
  </r>
  <r>
    <x v="63"/>
    <x v="12"/>
    <n v="9937.7999999999993"/>
    <n v="19751.5"/>
    <n v="1.99"/>
    <n v="3847.6"/>
    <n v="7488.3"/>
    <n v="1.95"/>
    <n v="13785.4"/>
    <n v="27239.8"/>
    <n v="1.98"/>
  </r>
  <r>
    <x v="64"/>
    <x v="12"/>
    <n v="0.374"/>
    <n v="0.90529999999999999"/>
    <n v="0.38669999999999999"/>
    <n v="0.26290000000000002"/>
    <n v="0.73309999999999997"/>
    <n v="0.37230000000000002"/>
    <n v="0.34110000000000001"/>
    <n v="0.85460000000000003"/>
    <n v="0.38300000000000001"/>
  </r>
  <r>
    <x v="65"/>
    <x v="0"/>
    <n v="848.5"/>
    <n v="2003.4"/>
    <n v="2.36"/>
    <n v="359.2"/>
    <n v="843.2"/>
    <n v="2.35"/>
    <n v="1207.5999999999999"/>
    <n v="2846.5"/>
    <n v="2.36"/>
  </r>
  <r>
    <x v="65"/>
    <x v="1"/>
    <n v="820"/>
    <n v="2123.6999999999998"/>
    <n v="2.59"/>
    <n v="324.2"/>
    <n v="856.2"/>
    <n v="2.64"/>
    <n v="1144.2"/>
    <n v="2979.9"/>
    <n v="2.6"/>
  </r>
  <r>
    <x v="65"/>
    <x v="2"/>
    <n v="980.7"/>
    <n v="2971.3"/>
    <n v="3.03"/>
    <n v="395.5"/>
    <n v="1211.3"/>
    <n v="3.06"/>
    <n v="1376.2"/>
    <n v="4182.5"/>
    <n v="3.04"/>
  </r>
  <r>
    <x v="65"/>
    <x v="3"/>
    <n v="933.7"/>
    <n v="3341.8"/>
    <n v="3.58"/>
    <n v="411.5"/>
    <n v="1481.2"/>
    <n v="3.6"/>
    <n v="1345.2"/>
    <n v="4822.8999999999996"/>
    <n v="3.59"/>
  </r>
  <r>
    <x v="65"/>
    <x v="4"/>
    <n v="962.3"/>
    <n v="3756.1"/>
    <n v="3.9"/>
    <n v="451.7"/>
    <n v="1753.5"/>
    <n v="3.88"/>
    <n v="1414"/>
    <n v="5509.5"/>
    <n v="3.9"/>
  </r>
  <r>
    <x v="65"/>
    <x v="5"/>
    <n v="968.6"/>
    <n v="3902.8"/>
    <n v="4.03"/>
    <n v="474.1"/>
    <n v="1931"/>
    <n v="4.07"/>
    <n v="1442.7"/>
    <n v="5833.8"/>
    <n v="4.04"/>
  </r>
  <r>
    <x v="65"/>
    <x v="6"/>
    <n v="1022.4"/>
    <n v="3759.2"/>
    <n v="3.68"/>
    <n v="497.8"/>
    <n v="1877.1"/>
    <n v="3.77"/>
    <n v="1520.2"/>
    <n v="5636.3"/>
    <n v="3.71"/>
  </r>
  <r>
    <x v="65"/>
    <x v="7"/>
    <n v="1007.3"/>
    <n v="3478.4"/>
    <n v="3.45"/>
    <n v="496.5"/>
    <n v="1744.5"/>
    <n v="3.51"/>
    <n v="1503.8"/>
    <n v="5222.8"/>
    <n v="3.47"/>
  </r>
  <r>
    <x v="65"/>
    <x v="8"/>
    <n v="946.1"/>
    <n v="3304.2"/>
    <n v="3.49"/>
    <n v="455"/>
    <n v="1581.4"/>
    <n v="3.48"/>
    <n v="1401.1"/>
    <n v="4885.6000000000004"/>
    <n v="3.49"/>
  </r>
  <r>
    <x v="65"/>
    <x v="9"/>
    <n v="979.8"/>
    <n v="3412.4"/>
    <n v="3.48"/>
    <n v="453.7"/>
    <n v="1533.4"/>
    <n v="3.38"/>
    <n v="1433.5"/>
    <n v="4945.8"/>
    <n v="3.45"/>
  </r>
  <r>
    <x v="65"/>
    <x v="10"/>
    <n v="965.8"/>
    <n v="3216.7"/>
    <n v="3.33"/>
    <n v="431.8"/>
    <n v="1420.7"/>
    <n v="3.29"/>
    <n v="1397.6"/>
    <n v="4637.3999999999996"/>
    <n v="3.32"/>
  </r>
  <r>
    <x v="65"/>
    <x v="11"/>
    <n v="1006.1"/>
    <n v="3158.1"/>
    <n v="3.14"/>
    <n v="465.3"/>
    <n v="1467.4"/>
    <n v="3.15"/>
    <n v="1471.3"/>
    <n v="4625.5"/>
    <n v="3.14"/>
  </r>
  <r>
    <x v="66"/>
    <x v="12"/>
    <n v="11441.3"/>
    <n v="38427.9"/>
    <n v="3.36"/>
    <n v="5216.2"/>
    <n v="17700.8"/>
    <n v="3.39"/>
    <n v="16657.5"/>
    <n v="56128.7"/>
    <n v="3.37"/>
  </r>
  <r>
    <x v="67"/>
    <x v="12"/>
    <n v="0.15129999999999999"/>
    <n v="0.9456"/>
    <n v="0.68989999999999996"/>
    <n v="0.35570000000000002"/>
    <n v="1.3637999999999999"/>
    <n v="0.74360000000000004"/>
    <n v="0.20830000000000001"/>
    <n v="1.0605"/>
    <n v="0.70530000000000004"/>
  </r>
  <r>
    <x v="68"/>
    <x v="0"/>
    <n v="972.4"/>
    <n v="3213"/>
    <n v="3.3"/>
    <n v="441.9"/>
    <n v="1400.1"/>
    <n v="3.17"/>
    <n v="1414.3"/>
    <n v="4613.1000000000004"/>
    <n v="3.26"/>
  </r>
  <r>
    <x v="68"/>
    <x v="1"/>
    <n v="905.6"/>
    <n v="2945.1"/>
    <n v="3.25"/>
    <n v="400.1"/>
    <n v="1265.3"/>
    <n v="3.16"/>
    <n v="1305.7"/>
    <n v="4210.5"/>
    <n v="3.22"/>
  </r>
  <r>
    <x v="68"/>
    <x v="2"/>
    <n v="1065"/>
    <n v="3120.6"/>
    <n v="2.93"/>
    <n v="480.2"/>
    <n v="1383.5"/>
    <n v="2.88"/>
    <n v="1545.2"/>
    <n v="4504.1000000000004"/>
    <n v="2.91"/>
  </r>
  <r>
    <x v="68"/>
    <x v="3"/>
    <n v="997.2"/>
    <n v="2654.2"/>
    <n v="2.66"/>
    <n v="487.1"/>
    <n v="1290.2"/>
    <n v="2.65"/>
    <n v="1484.3"/>
    <n v="3944.5"/>
    <n v="2.66"/>
  </r>
  <r>
    <x v="68"/>
    <x v="4"/>
    <n v="1042.2"/>
    <n v="2550.1"/>
    <n v="2.4500000000000002"/>
    <n v="525.6"/>
    <n v="1278.8"/>
    <n v="2.4300000000000002"/>
    <n v="1567.8"/>
    <n v="3828.9"/>
    <n v="2.44"/>
  </r>
  <r>
    <x v="68"/>
    <x v="5"/>
    <n v="1058.5999999999999"/>
    <n v="2582"/>
    <n v="2.44"/>
    <n v="540.29999999999995"/>
    <n v="1294.5999999999999"/>
    <n v="2.4"/>
    <n v="1598.9"/>
    <n v="3876.5"/>
    <n v="2.42"/>
  </r>
  <r>
    <x v="68"/>
    <x v="6"/>
    <n v="1108.5999999999999"/>
    <n v="2768.6"/>
    <n v="2.5"/>
    <n v="570.4"/>
    <n v="1394.1"/>
    <n v="2.44"/>
    <n v="1679"/>
    <n v="4162.8"/>
    <n v="2.48"/>
  </r>
  <r>
    <x v="68"/>
    <x v="7"/>
    <n v="1107.3"/>
    <n v="3146.3"/>
    <n v="2.84"/>
    <n v="567.29999999999995"/>
    <n v="1578.9"/>
    <n v="2.78"/>
    <n v="1674.6"/>
    <n v="4725.2"/>
    <n v="2.82"/>
  </r>
  <r>
    <x v="68"/>
    <x v="8"/>
    <n v="1004.7"/>
    <n v="3172.2"/>
    <n v="3.16"/>
    <n v="515"/>
    <n v="1605.1"/>
    <n v="3.12"/>
    <n v="1519.7"/>
    <n v="4777.3"/>
    <n v="3.14"/>
  </r>
  <r>
    <x v="68"/>
    <x v="9"/>
    <n v="1073"/>
    <n v="3348.3"/>
    <n v="3.12"/>
    <n v="516.29999999999995"/>
    <n v="1606.8"/>
    <n v="3.11"/>
    <n v="1589.3"/>
    <n v="4955.1000000000004"/>
    <n v="3.12"/>
  </r>
  <r>
    <x v="68"/>
    <x v="10"/>
    <n v="1017.6"/>
    <n v="3069.9"/>
    <n v="3.02"/>
    <n v="486.2"/>
    <n v="1458.9"/>
    <n v="3"/>
    <n v="1503.8"/>
    <n v="4528.8"/>
    <n v="3.01"/>
  </r>
  <r>
    <x v="68"/>
    <x v="11"/>
    <n v="1058.5"/>
    <n v="2957.2"/>
    <n v="2.79"/>
    <n v="525.70000000000005"/>
    <n v="1471.3"/>
    <n v="2.8"/>
    <n v="1584.2"/>
    <n v="4428.5"/>
    <n v="2.8"/>
  </r>
  <r>
    <x v="69"/>
    <x v="12"/>
    <n v="12410.5"/>
    <n v="35527.4"/>
    <n v="2.86"/>
    <n v="6056.2"/>
    <n v="17027.7"/>
    <n v="2.81"/>
    <n v="18466.7"/>
    <n v="52555.1"/>
    <n v="2.85"/>
  </r>
  <r>
    <x v="70"/>
    <x v="12"/>
    <n v="8.4699999999999998E-2"/>
    <n v="-7.5499999999999998E-2"/>
    <n v="-0.1477"/>
    <n v="0.161"/>
    <n v="-3.7999999999999999E-2"/>
    <n v="-0.17150000000000001"/>
    <n v="0.1086"/>
    <n v="-6.3700000000000007E-2"/>
    <n v="-0.15540000000000001"/>
  </r>
  <r>
    <x v="71"/>
    <x v="0"/>
    <n v="957.5"/>
    <n v="2594.6999999999998"/>
    <n v="2.71"/>
    <n v="500.5"/>
    <n v="1344.4"/>
    <n v="2.69"/>
    <n v="1458"/>
    <n v="3939"/>
    <n v="2.7"/>
  </r>
  <r>
    <x v="71"/>
    <x v="1"/>
    <n v="933.7"/>
    <n v="2663.9"/>
    <n v="2.85"/>
    <n v="458.4"/>
    <n v="1279.0999999999999"/>
    <n v="2.79"/>
    <n v="1392"/>
    <n v="3943"/>
    <n v="2.83"/>
  </r>
  <r>
    <x v="71"/>
    <x v="2"/>
    <n v="1071.2"/>
    <n v="2975.7"/>
    <n v="2.78"/>
    <n v="530.29999999999995"/>
    <n v="1459.8"/>
    <n v="2.75"/>
    <n v="1601.5"/>
    <n v="4435.6000000000004"/>
    <n v="2.77"/>
  </r>
  <r>
    <x v="71"/>
    <x v="3"/>
    <n v="1042.7"/>
    <n v="2880"/>
    <n v="2.76"/>
    <n v="522.70000000000005"/>
    <n v="1430.6"/>
    <n v="2.74"/>
    <n v="1565.4"/>
    <n v="4310.6000000000004"/>
    <n v="2.75"/>
  </r>
  <r>
    <x v="71"/>
    <x v="4"/>
    <n v="1088.7"/>
    <n v="2882.7"/>
    <n v="2.65"/>
    <n v="556.1"/>
    <n v="1473.9"/>
    <n v="2.65"/>
    <n v="1644.8"/>
    <n v="4356.6000000000004"/>
    <n v="2.65"/>
  </r>
  <r>
    <x v="71"/>
    <x v="5"/>
    <n v="1102.9000000000001"/>
    <n v="2798.6"/>
    <n v="2.54"/>
    <n v="578.79999999999995"/>
    <n v="1472.5"/>
    <n v="2.54"/>
    <n v="1681.7"/>
    <n v="4271.1000000000004"/>
    <n v="2.54"/>
  </r>
  <r>
    <x v="71"/>
    <x v="6"/>
    <n v="1136.5"/>
    <n v="2928.6"/>
    <n v="2.58"/>
    <n v="597"/>
    <n v="1543.2"/>
    <n v="2.58"/>
    <n v="1733.5"/>
    <n v="4471.8"/>
    <n v="2.58"/>
  </r>
  <r>
    <x v="71"/>
    <x v="7"/>
    <n v="1104"/>
    <n v="2704.4"/>
    <n v="2.4500000000000002"/>
    <n v="579.4"/>
    <n v="1453.8"/>
    <n v="2.5099999999999998"/>
    <n v="1683.5"/>
    <n v="4158.3"/>
    <n v="2.4700000000000002"/>
  </r>
  <r>
    <x v="71"/>
    <x v="8"/>
    <n v="1008.8"/>
    <n v="2328.5"/>
    <n v="2.31"/>
    <n v="522.5"/>
    <n v="1234.2"/>
    <n v="2.36"/>
    <n v="1531.4"/>
    <n v="3562.8"/>
    <n v="2.33"/>
  </r>
  <r>
    <x v="71"/>
    <x v="9"/>
    <n v="1047.9000000000001"/>
    <n v="2392.5"/>
    <n v="2.2799999999999998"/>
    <n v="528.20000000000005"/>
    <n v="1220.5999999999999"/>
    <n v="2.31"/>
    <n v="1576.1"/>
    <n v="3613.1"/>
    <n v="2.29"/>
  </r>
  <r>
    <x v="71"/>
    <x v="10"/>
    <n v="1005.3"/>
    <n v="2324.6"/>
    <n v="2.31"/>
    <n v="489.9"/>
    <n v="1127.2"/>
    <n v="2.2999999999999998"/>
    <n v="1495.2"/>
    <n v="3451.8"/>
    <n v="2.31"/>
  </r>
  <r>
    <x v="71"/>
    <x v="11"/>
    <n v="1063.5"/>
    <n v="2467.8000000000002"/>
    <n v="2.3199999999999998"/>
    <n v="534.29999999999995"/>
    <n v="1247.2"/>
    <n v="2.33"/>
    <n v="1597.8"/>
    <n v="3715"/>
    <n v="2.33"/>
  </r>
  <r>
    <x v="72"/>
    <x v="12"/>
    <n v="12562.7"/>
    <n v="31942"/>
    <n v="2.54"/>
    <n v="6398.2"/>
    <n v="16286.6"/>
    <n v="2.5499999999999998"/>
    <n v="18960.900000000001"/>
    <n v="48228.6"/>
    <n v="2.54"/>
  </r>
  <r>
    <x v="73"/>
    <x v="12"/>
    <n v="1.23E-2"/>
    <n v="-0.1009"/>
    <n v="-0.1118"/>
    <n v="5.6500000000000002E-2"/>
    <n v="-4.3499999999999997E-2"/>
    <n v="-9.4600000000000004E-2"/>
    <n v="2.6800000000000001E-2"/>
    <n v="-8.2299999999999998E-2"/>
    <n v="-0.1062"/>
  </r>
  <r>
    <x v="74"/>
    <x v="0"/>
    <n v="959.3"/>
    <n v="2325.1999999999998"/>
    <n v="2.42"/>
    <n v="493.2"/>
    <n v="1191.5999999999999"/>
    <n v="2.42"/>
    <n v="1452.5"/>
    <n v="3516.8"/>
    <n v="2.42"/>
  </r>
  <r>
    <x v="74"/>
    <x v="1"/>
    <n v="913.9"/>
    <n v="2232.4"/>
    <n v="2.44"/>
    <n v="442"/>
    <n v="1085.8"/>
    <n v="2.46"/>
    <n v="1355.9"/>
    <n v="3318.2"/>
    <n v="2.4500000000000002"/>
  </r>
  <r>
    <x v="75"/>
    <x v="12"/>
    <n v="1873.2"/>
    <n v="4557.6000000000004"/>
    <n v="2.4300000000000002"/>
    <n v="935.2"/>
    <n v="2277.4"/>
    <n v="2.44"/>
    <n v="2808.4"/>
    <n v="6835"/>
    <n v="2.4300000000000002"/>
  </r>
  <r>
    <x v="76"/>
    <x v="12"/>
    <n v="-9.4999999999999998E-3"/>
    <n v="-0.1333"/>
    <n v="-0.125"/>
    <n v="-2.47E-2"/>
    <n v="-0.13189999999999999"/>
    <n v="-0.1099"/>
    <n v="-1.46E-2"/>
    <n v="-0.1328"/>
    <n v="-0.12"/>
  </r>
  <r>
    <x v="77"/>
    <x v="1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DC523-28E3-435B-8FAB-DD66F2F55A2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82" firstHeaderRow="0" firstDataRow="1" firstDataCol="1"/>
  <pivotFields count="11">
    <pivotField axis="axisRow" showAll="0">
      <items count="79">
        <item x="0"/>
        <item x="2"/>
        <item x="5"/>
        <item x="8"/>
        <item x="11"/>
        <item x="14"/>
        <item x="17"/>
        <item x="20"/>
        <item x="23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x="62"/>
        <item x="65"/>
        <item x="68"/>
        <item x="71"/>
        <item x="74"/>
        <item x="4"/>
        <item x="7"/>
        <item x="10"/>
        <item x="13"/>
        <item x="16"/>
        <item x="19"/>
        <item x="22"/>
        <item x="25"/>
        <item x="28"/>
        <item x="31"/>
        <item x="34"/>
        <item x="37"/>
        <item x="40"/>
        <item x="43"/>
        <item x="46"/>
        <item x="49"/>
        <item x="52"/>
        <item x="55"/>
        <item x="58"/>
        <item x="61"/>
        <item x="64"/>
        <item x="67"/>
        <item x="70"/>
        <item x="73"/>
        <item x="76"/>
        <item x="1"/>
        <item x="3"/>
        <item x="6"/>
        <item x="9"/>
        <item x="12"/>
        <item x="15"/>
        <item x="18"/>
        <item x="21"/>
        <item x="24"/>
        <item x="27"/>
        <item x="30"/>
        <item x="33"/>
        <item x="36"/>
        <item x="39"/>
        <item x="42"/>
        <item x="45"/>
        <item x="48"/>
        <item x="51"/>
        <item x="54"/>
        <item x="57"/>
        <item x="60"/>
        <item x="63"/>
        <item x="66"/>
        <item x="69"/>
        <item x="72"/>
        <item x="75"/>
        <item x="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ost_million_dollars" fld="9" baseField="0" baseItem="0"/>
    <dataField name="Sum of Total_Consumption_million_gall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2C4C3-4B2B-4EB8-B764-62729E8CBA2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94" firstHeaderRow="0" firstDataRow="1" firstDataCol="1"/>
  <pivotFields count="11">
    <pivotField axis="axisRow" showAll="0">
      <items count="79">
        <item h="1" x="0"/>
        <item h="1" x="2"/>
        <item h="1" x="5"/>
        <item h="1" x="8"/>
        <item h="1" x="11"/>
        <item h="1" x="14"/>
        <item h="1" x="17"/>
        <item h="1" x="20"/>
        <item h="1" x="23"/>
        <item h="1" x="26"/>
        <item h="1" x="29"/>
        <item h="1" x="32"/>
        <item h="1" x="35"/>
        <item h="1" x="38"/>
        <item h="1" x="41"/>
        <item h="1" x="44"/>
        <item h="1" x="47"/>
        <item h="1" x="50"/>
        <item x="53"/>
        <item x="56"/>
        <item x="59"/>
        <item x="62"/>
        <item x="65"/>
        <item x="68"/>
        <item h="1" x="71"/>
        <item h="1" x="74"/>
        <item h="1" x="4"/>
        <item h="1" x="7"/>
        <item h="1" x="10"/>
        <item h="1" x="13"/>
        <item h="1" x="16"/>
        <item h="1" x="19"/>
        <item h="1" x="22"/>
        <item h="1" x="25"/>
        <item h="1" x="28"/>
        <item h="1" x="31"/>
        <item h="1" x="34"/>
        <item h="1" x="37"/>
        <item h="1" x="40"/>
        <item h="1" x="43"/>
        <item h="1" x="46"/>
        <item h="1" x="49"/>
        <item h="1" x="52"/>
        <item h="1" x="55"/>
        <item x="58"/>
        <item x="61"/>
        <item x="64"/>
        <item x="67"/>
        <item x="70"/>
        <item x="73"/>
        <item h="1" x="76"/>
        <item h="1" x="1"/>
        <item h="1" x="3"/>
        <item h="1" x="6"/>
        <item h="1" x="9"/>
        <item h="1" x="12"/>
        <item h="1" x="15"/>
        <item h="1" x="18"/>
        <item h="1" x="21"/>
        <item h="1" x="24"/>
        <item h="1" x="27"/>
        <item h="1" x="30"/>
        <item h="1" x="33"/>
        <item h="1" x="36"/>
        <item h="1" x="39"/>
        <item h="1" x="42"/>
        <item h="1" x="45"/>
        <item h="1" x="48"/>
        <item h="1" x="51"/>
        <item h="1" x="54"/>
        <item h="1" x="57"/>
        <item h="1" x="60"/>
        <item h="1" x="63"/>
        <item h="1" x="66"/>
        <item h="1" x="69"/>
        <item h="1" x="72"/>
        <item h="1" x="75"/>
        <item h="1" x="77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2">
    <field x="0"/>
    <field x="1"/>
  </rowFields>
  <rowItems count="91"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4"/>
    </i>
    <i r="1">
      <x v="12"/>
    </i>
    <i>
      <x v="45"/>
    </i>
    <i r="1">
      <x v="12"/>
    </i>
    <i>
      <x v="46"/>
    </i>
    <i r="1">
      <x v="12"/>
    </i>
    <i>
      <x v="47"/>
    </i>
    <i r="1">
      <x v="12"/>
    </i>
    <i>
      <x v="48"/>
    </i>
    <i r="1">
      <x v="12"/>
    </i>
    <i>
      <x v="49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ost_million_dollars" fld="9" baseField="0" baseItem="0"/>
    <dataField name="Sum of Total_Consumption_million_gall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A66C-DE27-4019-8122-478BFDEF4B93}">
  <dimension ref="A1:K354"/>
  <sheetViews>
    <sheetView workbookViewId="0">
      <selection sqref="A1:XFD1"/>
    </sheetView>
  </sheetViews>
  <sheetFormatPr defaultRowHeight="14.4" x14ac:dyDescent="0.3"/>
  <cols>
    <col min="1" max="1" width="17.77734375" bestFit="1" customWidth="1"/>
    <col min="2" max="2" width="9.77734375" bestFit="1" customWidth="1"/>
    <col min="3" max="3" width="33.21875" bestFit="1" customWidth="1"/>
    <col min="4" max="4" width="25.88671875" bestFit="1" customWidth="1"/>
    <col min="5" max="5" width="22.88671875" bestFit="1" customWidth="1"/>
    <col min="6" max="6" width="35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2000</v>
      </c>
      <c r="B2" t="s">
        <v>11</v>
      </c>
      <c r="C2">
        <v>1108.5999999999999</v>
      </c>
      <c r="D2">
        <v>766.5</v>
      </c>
      <c r="E2">
        <v>0.69</v>
      </c>
      <c r="F2">
        <v>386.8</v>
      </c>
      <c r="G2">
        <v>313.60000000000002</v>
      </c>
      <c r="H2">
        <v>0.81</v>
      </c>
      <c r="I2">
        <v>1495.4</v>
      </c>
      <c r="J2">
        <v>1080.0999999999999</v>
      </c>
      <c r="K2">
        <v>0.72</v>
      </c>
    </row>
    <row r="3" spans="1:11" x14ac:dyDescent="0.3">
      <c r="A3">
        <v>2000</v>
      </c>
      <c r="B3" t="s">
        <v>12</v>
      </c>
      <c r="C3">
        <v>1068.4000000000001</v>
      </c>
      <c r="D3">
        <v>772.3</v>
      </c>
      <c r="E3">
        <v>0.72</v>
      </c>
      <c r="F3">
        <v>366.8</v>
      </c>
      <c r="G3">
        <v>298.7</v>
      </c>
      <c r="H3">
        <v>0.81</v>
      </c>
      <c r="I3">
        <v>1435.2</v>
      </c>
      <c r="J3">
        <v>1071.0999999999999</v>
      </c>
      <c r="K3">
        <v>0.75</v>
      </c>
    </row>
    <row r="4" spans="1:11" x14ac:dyDescent="0.3">
      <c r="A4">
        <v>2000</v>
      </c>
      <c r="B4" t="s">
        <v>13</v>
      </c>
      <c r="C4">
        <v>1174.3</v>
      </c>
      <c r="D4">
        <v>875.5</v>
      </c>
      <c r="E4">
        <v>0.75</v>
      </c>
      <c r="F4">
        <v>399.7</v>
      </c>
      <c r="G4">
        <v>330.1</v>
      </c>
      <c r="H4">
        <v>0.83</v>
      </c>
      <c r="I4">
        <v>1574</v>
      </c>
      <c r="J4">
        <v>1205.5999999999999</v>
      </c>
      <c r="K4">
        <v>0.77</v>
      </c>
    </row>
    <row r="5" spans="1:11" x14ac:dyDescent="0.3">
      <c r="A5">
        <v>2000</v>
      </c>
      <c r="B5" t="s">
        <v>14</v>
      </c>
      <c r="C5">
        <v>1145.3</v>
      </c>
      <c r="D5">
        <v>841.9</v>
      </c>
      <c r="E5">
        <v>0.74</v>
      </c>
      <c r="F5">
        <v>407.9</v>
      </c>
      <c r="G5">
        <v>336.7</v>
      </c>
      <c r="H5">
        <v>0.83</v>
      </c>
      <c r="I5">
        <v>1553.1</v>
      </c>
      <c r="J5">
        <v>1178.7</v>
      </c>
      <c r="K5">
        <v>0.76</v>
      </c>
    </row>
    <row r="6" spans="1:11" x14ac:dyDescent="0.3">
      <c r="A6">
        <v>2000</v>
      </c>
      <c r="B6" t="s">
        <v>15</v>
      </c>
      <c r="C6">
        <v>1174.2</v>
      </c>
      <c r="D6">
        <v>833.3</v>
      </c>
      <c r="E6">
        <v>0.71</v>
      </c>
      <c r="F6">
        <v>434.4</v>
      </c>
      <c r="G6">
        <v>337.9</v>
      </c>
      <c r="H6">
        <v>0.78</v>
      </c>
      <c r="I6">
        <v>1608.6</v>
      </c>
      <c r="J6">
        <v>1171.2</v>
      </c>
      <c r="K6">
        <v>0.73</v>
      </c>
    </row>
    <row r="7" spans="1:11" x14ac:dyDescent="0.3">
      <c r="A7">
        <v>2000</v>
      </c>
      <c r="B7" t="s">
        <v>16</v>
      </c>
      <c r="C7">
        <v>1183.8</v>
      </c>
      <c r="D7">
        <v>809.9</v>
      </c>
      <c r="E7">
        <v>0.68</v>
      </c>
      <c r="F7">
        <v>448.5</v>
      </c>
      <c r="G7">
        <v>345.9</v>
      </c>
      <c r="H7">
        <v>0.77</v>
      </c>
      <c r="I7">
        <v>1632.3</v>
      </c>
      <c r="J7">
        <v>1155.8</v>
      </c>
      <c r="K7">
        <v>0.71</v>
      </c>
    </row>
    <row r="8" spans="1:11" x14ac:dyDescent="0.3">
      <c r="A8">
        <v>2000</v>
      </c>
      <c r="B8" t="s">
        <v>17</v>
      </c>
      <c r="C8">
        <v>1223.9000000000001</v>
      </c>
      <c r="D8">
        <v>931.7</v>
      </c>
      <c r="E8">
        <v>0.76</v>
      </c>
      <c r="F8">
        <v>463.1</v>
      </c>
      <c r="G8">
        <v>374.7</v>
      </c>
      <c r="H8">
        <v>0.81</v>
      </c>
      <c r="I8">
        <v>1687</v>
      </c>
      <c r="J8">
        <v>1306.3</v>
      </c>
      <c r="K8">
        <v>0.77</v>
      </c>
    </row>
    <row r="9" spans="1:11" x14ac:dyDescent="0.3">
      <c r="A9">
        <v>2000</v>
      </c>
      <c r="B9" t="s">
        <v>18</v>
      </c>
      <c r="C9">
        <v>1229</v>
      </c>
      <c r="D9">
        <v>954.5</v>
      </c>
      <c r="E9">
        <v>0.78</v>
      </c>
      <c r="F9">
        <v>468.8</v>
      </c>
      <c r="G9">
        <v>398.9</v>
      </c>
      <c r="H9">
        <v>0.85</v>
      </c>
      <c r="I9">
        <v>1697.8</v>
      </c>
      <c r="J9">
        <v>1353.4</v>
      </c>
      <c r="K9">
        <v>0.8</v>
      </c>
    </row>
    <row r="10" spans="1:11" x14ac:dyDescent="0.3">
      <c r="A10">
        <v>2000</v>
      </c>
      <c r="B10" t="s">
        <v>19</v>
      </c>
      <c r="C10">
        <v>1099</v>
      </c>
      <c r="D10">
        <v>928.9</v>
      </c>
      <c r="E10">
        <v>0.85</v>
      </c>
      <c r="F10">
        <v>446.5</v>
      </c>
      <c r="G10">
        <v>421.1</v>
      </c>
      <c r="H10">
        <v>0.94</v>
      </c>
      <c r="I10">
        <v>1545.5</v>
      </c>
      <c r="J10">
        <v>1350</v>
      </c>
      <c r="K10">
        <v>0.87</v>
      </c>
    </row>
    <row r="11" spans="1:11" x14ac:dyDescent="0.3">
      <c r="A11">
        <v>2000</v>
      </c>
      <c r="B11" t="s">
        <v>20</v>
      </c>
      <c r="C11">
        <v>1195.5999999999999</v>
      </c>
      <c r="D11">
        <v>1052</v>
      </c>
      <c r="E11">
        <v>0.88</v>
      </c>
      <c r="F11">
        <v>452.1</v>
      </c>
      <c r="G11">
        <v>428.6</v>
      </c>
      <c r="H11">
        <v>0.95</v>
      </c>
      <c r="I11">
        <v>1647.7</v>
      </c>
      <c r="J11">
        <v>1480.6</v>
      </c>
      <c r="K11">
        <v>0.9</v>
      </c>
    </row>
    <row r="12" spans="1:11" x14ac:dyDescent="0.3">
      <c r="A12">
        <v>2000</v>
      </c>
      <c r="B12" t="s">
        <v>21</v>
      </c>
      <c r="C12">
        <v>1151.9000000000001</v>
      </c>
      <c r="D12">
        <v>1005.9</v>
      </c>
      <c r="E12">
        <v>0.87</v>
      </c>
      <c r="F12">
        <v>419.2</v>
      </c>
      <c r="G12">
        <v>395.5</v>
      </c>
      <c r="H12">
        <v>0.94</v>
      </c>
      <c r="I12">
        <v>1571.1</v>
      </c>
      <c r="J12">
        <v>1401.4</v>
      </c>
      <c r="K12">
        <v>0.89</v>
      </c>
    </row>
    <row r="13" spans="1:11" x14ac:dyDescent="0.3">
      <c r="A13">
        <v>2000</v>
      </c>
      <c r="B13" t="s">
        <v>22</v>
      </c>
      <c r="C13">
        <v>1149.9000000000001</v>
      </c>
      <c r="D13">
        <v>1038.2</v>
      </c>
      <c r="E13">
        <v>0.9</v>
      </c>
      <c r="F13">
        <v>428.6</v>
      </c>
      <c r="G13">
        <v>406</v>
      </c>
      <c r="H13">
        <v>0.95</v>
      </c>
      <c r="I13">
        <v>1578.5</v>
      </c>
      <c r="J13">
        <v>1444.2</v>
      </c>
      <c r="K13">
        <v>0.91</v>
      </c>
    </row>
    <row r="14" spans="1:11" x14ac:dyDescent="0.3">
      <c r="A14" t="s">
        <v>23</v>
      </c>
      <c r="C14">
        <v>13903.7</v>
      </c>
      <c r="D14">
        <v>10810.6</v>
      </c>
      <c r="E14">
        <v>0.78</v>
      </c>
      <c r="F14">
        <v>5122.5</v>
      </c>
      <c r="G14">
        <v>4387.8</v>
      </c>
      <c r="H14">
        <v>0.86</v>
      </c>
      <c r="I14">
        <v>19026.2</v>
      </c>
      <c r="J14">
        <v>15198.4</v>
      </c>
      <c r="K14">
        <v>0.8</v>
      </c>
    </row>
    <row r="15" spans="1:11" x14ac:dyDescent="0.3">
      <c r="A15">
        <v>2001</v>
      </c>
      <c r="B15" t="s">
        <v>11</v>
      </c>
      <c r="C15">
        <v>1153.4000000000001</v>
      </c>
      <c r="D15">
        <v>983</v>
      </c>
      <c r="E15">
        <v>0.85</v>
      </c>
      <c r="F15">
        <v>416.7</v>
      </c>
      <c r="G15">
        <v>370</v>
      </c>
      <c r="H15">
        <v>0.89</v>
      </c>
      <c r="I15">
        <v>1570.1</v>
      </c>
      <c r="J15">
        <v>1352.9</v>
      </c>
      <c r="K15">
        <v>0.86</v>
      </c>
    </row>
    <row r="16" spans="1:11" x14ac:dyDescent="0.3">
      <c r="A16">
        <v>2001</v>
      </c>
      <c r="B16" t="s">
        <v>12</v>
      </c>
      <c r="C16">
        <v>1066.8</v>
      </c>
      <c r="D16">
        <v>898.3</v>
      </c>
      <c r="E16">
        <v>0.84</v>
      </c>
      <c r="F16">
        <v>386.6</v>
      </c>
      <c r="G16">
        <v>335.7</v>
      </c>
      <c r="H16">
        <v>0.87</v>
      </c>
      <c r="I16">
        <v>1453.4</v>
      </c>
      <c r="J16">
        <v>1234</v>
      </c>
      <c r="K16">
        <v>0.85</v>
      </c>
    </row>
    <row r="17" spans="1:11" x14ac:dyDescent="0.3">
      <c r="A17">
        <v>2001</v>
      </c>
      <c r="B17" t="s">
        <v>13</v>
      </c>
      <c r="C17">
        <v>1181.7</v>
      </c>
      <c r="D17">
        <v>936.5</v>
      </c>
      <c r="E17">
        <v>0.79</v>
      </c>
      <c r="F17">
        <v>443.1</v>
      </c>
      <c r="G17">
        <v>377.6</v>
      </c>
      <c r="H17">
        <v>0.85</v>
      </c>
      <c r="I17">
        <v>1624.7</v>
      </c>
      <c r="J17">
        <v>1314.1</v>
      </c>
      <c r="K17">
        <v>0.81</v>
      </c>
    </row>
    <row r="18" spans="1:11" x14ac:dyDescent="0.3">
      <c r="A18">
        <v>2001</v>
      </c>
      <c r="B18" t="s">
        <v>14</v>
      </c>
      <c r="C18">
        <v>1124.4000000000001</v>
      </c>
      <c r="D18">
        <v>865.5</v>
      </c>
      <c r="E18">
        <v>0.77</v>
      </c>
      <c r="F18">
        <v>434.8</v>
      </c>
      <c r="G18">
        <v>349.1</v>
      </c>
      <c r="H18">
        <v>0.8</v>
      </c>
      <c r="I18">
        <v>1559.1</v>
      </c>
      <c r="J18">
        <v>1214.5999999999999</v>
      </c>
      <c r="K18">
        <v>0.78</v>
      </c>
    </row>
    <row r="19" spans="1:11" x14ac:dyDescent="0.3">
      <c r="A19">
        <v>2001</v>
      </c>
      <c r="B19" t="s">
        <v>15</v>
      </c>
      <c r="C19">
        <v>1175.4000000000001</v>
      </c>
      <c r="D19">
        <v>946.4</v>
      </c>
      <c r="E19">
        <v>0.81</v>
      </c>
      <c r="F19">
        <v>454.2</v>
      </c>
      <c r="G19">
        <v>372.8</v>
      </c>
      <c r="H19">
        <v>0.82</v>
      </c>
      <c r="I19">
        <v>1629.7</v>
      </c>
      <c r="J19">
        <v>1319.2</v>
      </c>
      <c r="K19">
        <v>0.81</v>
      </c>
    </row>
    <row r="20" spans="1:11" x14ac:dyDescent="0.3">
      <c r="A20">
        <v>2001</v>
      </c>
      <c r="B20" t="s">
        <v>16</v>
      </c>
      <c r="C20">
        <v>1184.4000000000001</v>
      </c>
      <c r="D20">
        <v>951.8</v>
      </c>
      <c r="E20">
        <v>0.8</v>
      </c>
      <c r="F20">
        <v>452.8</v>
      </c>
      <c r="G20">
        <v>373.8</v>
      </c>
      <c r="H20">
        <v>0.83</v>
      </c>
      <c r="I20">
        <v>1637.2</v>
      </c>
      <c r="J20">
        <v>1325.6</v>
      </c>
      <c r="K20">
        <v>0.81</v>
      </c>
    </row>
    <row r="21" spans="1:11" x14ac:dyDescent="0.3">
      <c r="A21">
        <v>2001</v>
      </c>
      <c r="B21" t="s">
        <v>17</v>
      </c>
      <c r="C21">
        <v>1213.7</v>
      </c>
      <c r="D21">
        <v>937.2</v>
      </c>
      <c r="E21">
        <v>0.77</v>
      </c>
      <c r="F21">
        <v>466.5</v>
      </c>
      <c r="G21">
        <v>379.9</v>
      </c>
      <c r="H21">
        <v>0.81</v>
      </c>
      <c r="I21">
        <v>1680.2</v>
      </c>
      <c r="J21">
        <v>1317.1</v>
      </c>
      <c r="K21">
        <v>0.78</v>
      </c>
    </row>
    <row r="22" spans="1:11" x14ac:dyDescent="0.3">
      <c r="A22">
        <v>2001</v>
      </c>
      <c r="B22" t="s">
        <v>18</v>
      </c>
      <c r="C22">
        <v>1245.8</v>
      </c>
      <c r="D22">
        <v>948.4</v>
      </c>
      <c r="E22">
        <v>0.76</v>
      </c>
      <c r="F22">
        <v>472.1</v>
      </c>
      <c r="G22">
        <v>374.7</v>
      </c>
      <c r="H22">
        <v>0.79</v>
      </c>
      <c r="I22">
        <v>1718</v>
      </c>
      <c r="J22">
        <v>1323.1</v>
      </c>
      <c r="K22">
        <v>0.77</v>
      </c>
    </row>
    <row r="23" spans="1:11" x14ac:dyDescent="0.3">
      <c r="A23">
        <v>2001</v>
      </c>
      <c r="B23" t="s">
        <v>19</v>
      </c>
      <c r="C23">
        <v>888.5</v>
      </c>
      <c r="D23">
        <v>703</v>
      </c>
      <c r="E23">
        <v>0.79</v>
      </c>
      <c r="F23">
        <v>369.2</v>
      </c>
      <c r="G23">
        <v>292.7</v>
      </c>
      <c r="H23">
        <v>0.79</v>
      </c>
      <c r="I23">
        <v>1257.7</v>
      </c>
      <c r="J23">
        <v>995.7</v>
      </c>
      <c r="K23">
        <v>0.79</v>
      </c>
    </row>
    <row r="24" spans="1:11" x14ac:dyDescent="0.3">
      <c r="A24">
        <v>2001</v>
      </c>
      <c r="B24" t="s">
        <v>20</v>
      </c>
      <c r="C24">
        <v>971.7</v>
      </c>
      <c r="D24">
        <v>688.2</v>
      </c>
      <c r="E24">
        <v>0.71</v>
      </c>
      <c r="F24">
        <v>358</v>
      </c>
      <c r="G24">
        <v>275.3</v>
      </c>
      <c r="H24">
        <v>0.77</v>
      </c>
      <c r="I24">
        <v>1329.7</v>
      </c>
      <c r="J24">
        <v>963.5</v>
      </c>
      <c r="K24">
        <v>0.72</v>
      </c>
    </row>
    <row r="25" spans="1:11" x14ac:dyDescent="0.3">
      <c r="A25">
        <v>2001</v>
      </c>
      <c r="B25" t="s">
        <v>21</v>
      </c>
      <c r="C25">
        <v>935.3</v>
      </c>
      <c r="D25">
        <v>618.5</v>
      </c>
      <c r="E25">
        <v>0.66</v>
      </c>
      <c r="F25">
        <v>347</v>
      </c>
      <c r="G25">
        <v>249.8</v>
      </c>
      <c r="H25">
        <v>0.72</v>
      </c>
      <c r="I25">
        <v>1282.3</v>
      </c>
      <c r="J25">
        <v>868.2</v>
      </c>
      <c r="K25">
        <v>0.68</v>
      </c>
    </row>
    <row r="26" spans="1:11" x14ac:dyDescent="0.3">
      <c r="A26">
        <v>2001</v>
      </c>
      <c r="B26" t="s">
        <v>22</v>
      </c>
      <c r="C26">
        <v>970.9</v>
      </c>
      <c r="D26">
        <v>548</v>
      </c>
      <c r="E26">
        <v>0.56000000000000005</v>
      </c>
      <c r="F26">
        <v>354.5</v>
      </c>
      <c r="G26">
        <v>238</v>
      </c>
      <c r="H26">
        <v>0.67</v>
      </c>
      <c r="I26">
        <v>1325.5</v>
      </c>
      <c r="J26">
        <v>786</v>
      </c>
      <c r="K26">
        <v>0.59</v>
      </c>
    </row>
    <row r="27" spans="1:11" x14ac:dyDescent="0.3">
      <c r="A27" t="s">
        <v>24</v>
      </c>
      <c r="C27">
        <v>13112.1</v>
      </c>
      <c r="D27">
        <v>10024.700000000001</v>
      </c>
      <c r="E27">
        <v>0.76</v>
      </c>
      <c r="F27">
        <v>4955.6000000000004</v>
      </c>
      <c r="G27">
        <v>3989.5</v>
      </c>
      <c r="H27">
        <v>0.81</v>
      </c>
      <c r="I27">
        <v>18067.599999999999</v>
      </c>
      <c r="J27">
        <v>14014.2</v>
      </c>
      <c r="K27">
        <v>0.78</v>
      </c>
    </row>
    <row r="28" spans="1:11" x14ac:dyDescent="0.3">
      <c r="A28" t="s">
        <v>25</v>
      </c>
      <c r="C28">
        <v>-5.6899999999999999E-2</v>
      </c>
      <c r="D28">
        <v>-7.2700000000000001E-2</v>
      </c>
      <c r="E28">
        <v>-1.67E-2</v>
      </c>
      <c r="F28">
        <v>-3.2599999999999997E-2</v>
      </c>
      <c r="G28">
        <v>-9.0800000000000006E-2</v>
      </c>
      <c r="H28">
        <v>-6.0100000000000001E-2</v>
      </c>
      <c r="I28">
        <v>-5.04E-2</v>
      </c>
      <c r="J28">
        <v>-7.7899999999999997E-2</v>
      </c>
      <c r="K28">
        <v>-2.9000000000000001E-2</v>
      </c>
    </row>
    <row r="29" spans="1:11" x14ac:dyDescent="0.3">
      <c r="A29">
        <v>2002</v>
      </c>
      <c r="B29" t="s">
        <v>11</v>
      </c>
      <c r="C29">
        <v>974.8</v>
      </c>
      <c r="D29">
        <v>580.20000000000005</v>
      </c>
      <c r="E29">
        <v>0.6</v>
      </c>
      <c r="F29">
        <v>350</v>
      </c>
      <c r="G29">
        <v>231.7</v>
      </c>
      <c r="H29">
        <v>0.66</v>
      </c>
      <c r="I29">
        <v>1324.9</v>
      </c>
      <c r="J29">
        <v>811.9</v>
      </c>
      <c r="K29">
        <v>0.61</v>
      </c>
    </row>
    <row r="30" spans="1:11" x14ac:dyDescent="0.3">
      <c r="A30">
        <v>2002</v>
      </c>
      <c r="B30" t="s">
        <v>12</v>
      </c>
      <c r="C30">
        <v>907.1</v>
      </c>
      <c r="D30">
        <v>556.5</v>
      </c>
      <c r="E30">
        <v>0.61</v>
      </c>
      <c r="F30">
        <v>321.8</v>
      </c>
      <c r="G30">
        <v>200.9</v>
      </c>
      <c r="H30">
        <v>0.62</v>
      </c>
      <c r="I30">
        <v>1228.9000000000001</v>
      </c>
      <c r="J30">
        <v>757.5</v>
      </c>
      <c r="K30">
        <v>0.62</v>
      </c>
    </row>
    <row r="31" spans="1:11" x14ac:dyDescent="0.3">
      <c r="A31">
        <v>2002</v>
      </c>
      <c r="B31" t="s">
        <v>13</v>
      </c>
      <c r="C31">
        <v>1042.5999999999999</v>
      </c>
      <c r="D31">
        <v>639</v>
      </c>
      <c r="E31">
        <v>0.61</v>
      </c>
      <c r="F31">
        <v>364.3</v>
      </c>
      <c r="G31">
        <v>227.4</v>
      </c>
      <c r="H31">
        <v>0.62</v>
      </c>
      <c r="I31">
        <v>1406.9</v>
      </c>
      <c r="J31">
        <v>866.4</v>
      </c>
      <c r="K31">
        <v>0.62</v>
      </c>
    </row>
    <row r="32" spans="1:11" x14ac:dyDescent="0.3">
      <c r="A32">
        <v>2002</v>
      </c>
      <c r="B32" t="s">
        <v>14</v>
      </c>
      <c r="C32">
        <v>1007.3</v>
      </c>
      <c r="D32">
        <v>696.2</v>
      </c>
      <c r="E32">
        <v>0.69</v>
      </c>
      <c r="F32">
        <v>366.9</v>
      </c>
      <c r="G32">
        <v>252.8</v>
      </c>
      <c r="H32">
        <v>0.69</v>
      </c>
      <c r="I32">
        <v>1374.2</v>
      </c>
      <c r="J32">
        <v>949.1</v>
      </c>
      <c r="K32">
        <v>0.69</v>
      </c>
    </row>
    <row r="33" spans="1:11" x14ac:dyDescent="0.3">
      <c r="A33">
        <v>2002</v>
      </c>
      <c r="B33" t="s">
        <v>15</v>
      </c>
      <c r="C33">
        <v>1041.5</v>
      </c>
      <c r="D33">
        <v>726.3</v>
      </c>
      <c r="E33">
        <v>0.7</v>
      </c>
      <c r="F33">
        <v>391.6</v>
      </c>
      <c r="G33">
        <v>278.3</v>
      </c>
      <c r="H33">
        <v>0.71</v>
      </c>
      <c r="I33">
        <v>1433.1</v>
      </c>
      <c r="J33">
        <v>1004.6</v>
      </c>
      <c r="K33">
        <v>0.7</v>
      </c>
    </row>
    <row r="34" spans="1:11" x14ac:dyDescent="0.3">
      <c r="A34">
        <v>2002</v>
      </c>
      <c r="B34" t="s">
        <v>16</v>
      </c>
      <c r="C34">
        <v>1062.7</v>
      </c>
      <c r="D34">
        <v>707.2</v>
      </c>
      <c r="E34">
        <v>0.67</v>
      </c>
      <c r="F34">
        <v>394.2</v>
      </c>
      <c r="G34">
        <v>277.10000000000002</v>
      </c>
      <c r="H34">
        <v>0.7</v>
      </c>
      <c r="I34">
        <v>1456.9</v>
      </c>
      <c r="J34">
        <v>984.3</v>
      </c>
      <c r="K34">
        <v>0.68</v>
      </c>
    </row>
    <row r="35" spans="1:11" x14ac:dyDescent="0.3">
      <c r="A35">
        <v>2002</v>
      </c>
      <c r="B35" t="s">
        <v>17</v>
      </c>
      <c r="C35">
        <v>1108.9000000000001</v>
      </c>
      <c r="D35">
        <v>781.6</v>
      </c>
      <c r="E35">
        <v>0.7</v>
      </c>
      <c r="F35">
        <v>415.1</v>
      </c>
      <c r="G35">
        <v>300.89999999999998</v>
      </c>
      <c r="H35">
        <v>0.72</v>
      </c>
      <c r="I35">
        <v>1524</v>
      </c>
      <c r="J35">
        <v>1082.4000000000001</v>
      </c>
      <c r="K35">
        <v>0.71</v>
      </c>
    </row>
    <row r="36" spans="1:11" x14ac:dyDescent="0.3">
      <c r="A36">
        <v>2002</v>
      </c>
      <c r="B36" t="s">
        <v>18</v>
      </c>
      <c r="C36">
        <v>1106.0999999999999</v>
      </c>
      <c r="D36">
        <v>795</v>
      </c>
      <c r="E36">
        <v>0.72</v>
      </c>
      <c r="F36">
        <v>421</v>
      </c>
      <c r="G36">
        <v>314.10000000000002</v>
      </c>
      <c r="H36">
        <v>0.75</v>
      </c>
      <c r="I36">
        <v>1527</v>
      </c>
      <c r="J36">
        <v>1109.0999999999999</v>
      </c>
      <c r="K36">
        <v>0.73</v>
      </c>
    </row>
    <row r="37" spans="1:11" x14ac:dyDescent="0.3">
      <c r="A37">
        <v>2002</v>
      </c>
      <c r="B37" t="s">
        <v>19</v>
      </c>
      <c r="C37">
        <v>979.7</v>
      </c>
      <c r="D37">
        <v>748.4</v>
      </c>
      <c r="E37">
        <v>0.76</v>
      </c>
      <c r="F37">
        <v>396.3</v>
      </c>
      <c r="G37">
        <v>308.2</v>
      </c>
      <c r="H37">
        <v>0.78</v>
      </c>
      <c r="I37">
        <v>1376</v>
      </c>
      <c r="J37">
        <v>1056.5999999999999</v>
      </c>
      <c r="K37">
        <v>0.77</v>
      </c>
    </row>
    <row r="38" spans="1:11" x14ac:dyDescent="0.3">
      <c r="A38">
        <v>2002</v>
      </c>
      <c r="B38" t="s">
        <v>20</v>
      </c>
      <c r="C38">
        <v>1053.8</v>
      </c>
      <c r="D38">
        <v>850</v>
      </c>
      <c r="E38">
        <v>0.81</v>
      </c>
      <c r="F38">
        <v>405.1</v>
      </c>
      <c r="G38">
        <v>340.7</v>
      </c>
      <c r="H38">
        <v>0.84</v>
      </c>
      <c r="I38">
        <v>1458.9</v>
      </c>
      <c r="J38">
        <v>1190.7</v>
      </c>
      <c r="K38">
        <v>0.82</v>
      </c>
    </row>
    <row r="39" spans="1:11" x14ac:dyDescent="0.3">
      <c r="A39">
        <v>2002</v>
      </c>
      <c r="B39" t="s">
        <v>21</v>
      </c>
      <c r="C39">
        <v>989</v>
      </c>
      <c r="D39">
        <v>758.4</v>
      </c>
      <c r="E39">
        <v>0.77</v>
      </c>
      <c r="F39">
        <v>367.5</v>
      </c>
      <c r="G39">
        <v>299.89999999999998</v>
      </c>
      <c r="H39">
        <v>0.82</v>
      </c>
      <c r="I39">
        <v>1356.5</v>
      </c>
      <c r="J39">
        <v>1058.3</v>
      </c>
      <c r="K39">
        <v>0.78</v>
      </c>
    </row>
    <row r="40" spans="1:11" x14ac:dyDescent="0.3">
      <c r="A40">
        <v>2002</v>
      </c>
      <c r="B40" t="s">
        <v>22</v>
      </c>
      <c r="C40">
        <v>1013.7</v>
      </c>
      <c r="D40">
        <v>764</v>
      </c>
      <c r="E40">
        <v>0.75</v>
      </c>
      <c r="F40">
        <v>377.7</v>
      </c>
      <c r="G40">
        <v>302.7</v>
      </c>
      <c r="H40">
        <v>0.8</v>
      </c>
      <c r="I40">
        <v>1391.4</v>
      </c>
      <c r="J40">
        <v>1066.8</v>
      </c>
      <c r="K40">
        <v>0.77</v>
      </c>
    </row>
    <row r="41" spans="1:11" x14ac:dyDescent="0.3">
      <c r="A41" t="s">
        <v>26</v>
      </c>
      <c r="C41">
        <v>12287.2</v>
      </c>
      <c r="D41">
        <v>8602.9</v>
      </c>
      <c r="E41">
        <v>0.7</v>
      </c>
      <c r="F41">
        <v>4571.6000000000004</v>
      </c>
      <c r="G41">
        <v>3334.8</v>
      </c>
      <c r="H41">
        <v>0.73</v>
      </c>
      <c r="I41">
        <v>16858.7</v>
      </c>
      <c r="J41">
        <v>11937.7</v>
      </c>
      <c r="K41">
        <v>0.71</v>
      </c>
    </row>
    <row r="42" spans="1:11" x14ac:dyDescent="0.3">
      <c r="A42" t="s">
        <v>27</v>
      </c>
      <c r="C42">
        <v>-6.2899999999999998E-2</v>
      </c>
      <c r="D42">
        <v>-0.14180000000000001</v>
      </c>
      <c r="E42">
        <v>-8.4199999999999997E-2</v>
      </c>
      <c r="F42">
        <v>-7.7499999999999999E-2</v>
      </c>
      <c r="G42">
        <v>-0.1641</v>
      </c>
      <c r="H42">
        <v>-9.3899999999999997E-2</v>
      </c>
      <c r="I42">
        <v>-6.6900000000000001E-2</v>
      </c>
      <c r="J42">
        <v>-0.1482</v>
      </c>
      <c r="K42">
        <v>-8.7099999999999997E-2</v>
      </c>
    </row>
    <row r="43" spans="1:11" x14ac:dyDescent="0.3">
      <c r="A43">
        <v>2003</v>
      </c>
      <c r="B43" t="s">
        <v>11</v>
      </c>
      <c r="C43">
        <v>1027.5999999999999</v>
      </c>
      <c r="D43">
        <v>855.2</v>
      </c>
      <c r="E43">
        <v>0.83</v>
      </c>
      <c r="F43">
        <v>377.8</v>
      </c>
      <c r="G43">
        <v>339.5</v>
      </c>
      <c r="H43">
        <v>0.9</v>
      </c>
      <c r="I43">
        <v>1405.4</v>
      </c>
      <c r="J43">
        <v>1194.7</v>
      </c>
      <c r="K43">
        <v>0.85</v>
      </c>
    </row>
    <row r="44" spans="1:11" x14ac:dyDescent="0.3">
      <c r="A44">
        <v>2003</v>
      </c>
      <c r="B44" t="s">
        <v>12</v>
      </c>
      <c r="C44">
        <v>928.9</v>
      </c>
      <c r="D44">
        <v>815.4</v>
      </c>
      <c r="E44">
        <v>0.88</v>
      </c>
      <c r="F44">
        <v>329.9</v>
      </c>
      <c r="G44">
        <v>313.5</v>
      </c>
      <c r="H44">
        <v>0.95</v>
      </c>
      <c r="I44">
        <v>1258.8</v>
      </c>
      <c r="J44">
        <v>1128.9000000000001</v>
      </c>
      <c r="K44">
        <v>0.9</v>
      </c>
    </row>
    <row r="45" spans="1:11" x14ac:dyDescent="0.3">
      <c r="A45">
        <v>2003</v>
      </c>
      <c r="B45" t="s">
        <v>13</v>
      </c>
      <c r="C45">
        <v>1061.0999999999999</v>
      </c>
      <c r="D45">
        <v>1050.7</v>
      </c>
      <c r="E45">
        <v>0.99</v>
      </c>
      <c r="F45">
        <v>374.2</v>
      </c>
      <c r="G45">
        <v>360.1</v>
      </c>
      <c r="H45">
        <v>0.96</v>
      </c>
      <c r="I45">
        <v>1435.2</v>
      </c>
      <c r="J45">
        <v>1410.9</v>
      </c>
      <c r="K45">
        <v>0.98</v>
      </c>
    </row>
    <row r="46" spans="1:11" x14ac:dyDescent="0.3">
      <c r="A46">
        <v>2003</v>
      </c>
      <c r="B46" t="s">
        <v>14</v>
      </c>
      <c r="C46">
        <v>996.2</v>
      </c>
      <c r="D46">
        <v>828.1</v>
      </c>
      <c r="E46">
        <v>0.83</v>
      </c>
      <c r="F46">
        <v>338.1</v>
      </c>
      <c r="G46">
        <v>309.3</v>
      </c>
      <c r="H46">
        <v>0.91</v>
      </c>
      <c r="I46">
        <v>1334.3</v>
      </c>
      <c r="J46">
        <v>1137.4000000000001</v>
      </c>
      <c r="K46">
        <v>0.85</v>
      </c>
    </row>
    <row r="47" spans="1:11" x14ac:dyDescent="0.3">
      <c r="A47">
        <v>2003</v>
      </c>
      <c r="B47" t="s">
        <v>15</v>
      </c>
      <c r="C47">
        <v>1022.1</v>
      </c>
      <c r="D47">
        <v>775.6</v>
      </c>
      <c r="E47">
        <v>0.76</v>
      </c>
      <c r="F47">
        <v>374.9</v>
      </c>
      <c r="G47">
        <v>271.5</v>
      </c>
      <c r="H47">
        <v>0.72</v>
      </c>
      <c r="I47">
        <v>1397</v>
      </c>
      <c r="J47">
        <v>1047.0999999999999</v>
      </c>
      <c r="K47">
        <v>0.75</v>
      </c>
    </row>
    <row r="48" spans="1:11" x14ac:dyDescent="0.3">
      <c r="A48">
        <v>2003</v>
      </c>
      <c r="B48" t="s">
        <v>16</v>
      </c>
      <c r="C48">
        <v>1041.0999999999999</v>
      </c>
      <c r="D48">
        <v>778.6</v>
      </c>
      <c r="E48">
        <v>0.75</v>
      </c>
      <c r="F48">
        <v>361.6</v>
      </c>
      <c r="G48">
        <v>287.8</v>
      </c>
      <c r="H48">
        <v>0.8</v>
      </c>
      <c r="I48">
        <v>1402.6</v>
      </c>
      <c r="J48">
        <v>1066.4000000000001</v>
      </c>
      <c r="K48">
        <v>0.76</v>
      </c>
    </row>
    <row r="49" spans="1:11" x14ac:dyDescent="0.3">
      <c r="A49">
        <v>2003</v>
      </c>
      <c r="B49" t="s">
        <v>17</v>
      </c>
      <c r="C49">
        <v>1105.3</v>
      </c>
      <c r="D49">
        <v>861.4</v>
      </c>
      <c r="E49">
        <v>0.78</v>
      </c>
      <c r="F49">
        <v>390.9</v>
      </c>
      <c r="G49">
        <v>315.89999999999998</v>
      </c>
      <c r="H49">
        <v>0.81</v>
      </c>
      <c r="I49">
        <v>1496.3</v>
      </c>
      <c r="J49">
        <v>1177.3</v>
      </c>
      <c r="K49">
        <v>0.79</v>
      </c>
    </row>
    <row r="50" spans="1:11" x14ac:dyDescent="0.3">
      <c r="A50">
        <v>2003</v>
      </c>
      <c r="B50" t="s">
        <v>18</v>
      </c>
      <c r="C50">
        <v>1103.2</v>
      </c>
      <c r="D50">
        <v>909.9</v>
      </c>
      <c r="E50">
        <v>0.82</v>
      </c>
      <c r="F50">
        <v>401.5</v>
      </c>
      <c r="G50">
        <v>338</v>
      </c>
      <c r="H50">
        <v>0.84</v>
      </c>
      <c r="I50">
        <v>1504.7</v>
      </c>
      <c r="J50">
        <v>1247.9000000000001</v>
      </c>
      <c r="K50">
        <v>0.83</v>
      </c>
    </row>
    <row r="51" spans="1:11" x14ac:dyDescent="0.3">
      <c r="A51">
        <v>2003</v>
      </c>
      <c r="B51" t="s">
        <v>19</v>
      </c>
      <c r="C51">
        <v>993.6</v>
      </c>
      <c r="D51">
        <v>796.5</v>
      </c>
      <c r="E51">
        <v>0.8</v>
      </c>
      <c r="F51">
        <v>389.5</v>
      </c>
      <c r="G51">
        <v>317.10000000000002</v>
      </c>
      <c r="H51">
        <v>0.81</v>
      </c>
      <c r="I51">
        <v>1383.1</v>
      </c>
      <c r="J51">
        <v>1113.5999999999999</v>
      </c>
      <c r="K51">
        <v>0.81</v>
      </c>
    </row>
    <row r="52" spans="1:11" x14ac:dyDescent="0.3">
      <c r="A52">
        <v>2003</v>
      </c>
      <c r="B52" t="s">
        <v>20</v>
      </c>
      <c r="C52">
        <v>1055</v>
      </c>
      <c r="D52">
        <v>857.5</v>
      </c>
      <c r="E52">
        <v>0.81</v>
      </c>
      <c r="F52">
        <v>383.4</v>
      </c>
      <c r="G52">
        <v>328.2</v>
      </c>
      <c r="H52">
        <v>0.86</v>
      </c>
      <c r="I52">
        <v>1438.5</v>
      </c>
      <c r="J52">
        <v>1185.7</v>
      </c>
      <c r="K52">
        <v>0.82</v>
      </c>
    </row>
    <row r="53" spans="1:11" x14ac:dyDescent="0.3">
      <c r="A53">
        <v>2003</v>
      </c>
      <c r="B53" t="s">
        <v>21</v>
      </c>
      <c r="C53">
        <v>1007.5</v>
      </c>
      <c r="D53">
        <v>844.7</v>
      </c>
      <c r="E53">
        <v>0.84</v>
      </c>
      <c r="F53">
        <v>360.4</v>
      </c>
      <c r="G53">
        <v>317.5</v>
      </c>
      <c r="H53">
        <v>0.88</v>
      </c>
      <c r="I53">
        <v>1367.8</v>
      </c>
      <c r="J53">
        <v>1162.2</v>
      </c>
      <c r="K53">
        <v>0.85</v>
      </c>
    </row>
    <row r="54" spans="1:11" x14ac:dyDescent="0.3">
      <c r="A54">
        <v>2003</v>
      </c>
      <c r="B54" t="s">
        <v>22</v>
      </c>
      <c r="C54">
        <v>1075.4000000000001</v>
      </c>
      <c r="D54">
        <v>941.8</v>
      </c>
      <c r="E54">
        <v>0.88</v>
      </c>
      <c r="F54">
        <v>368.9</v>
      </c>
      <c r="G54">
        <v>339.8</v>
      </c>
      <c r="H54">
        <v>0.92</v>
      </c>
      <c r="I54">
        <v>1444.3</v>
      </c>
      <c r="J54">
        <v>1281.5999999999999</v>
      </c>
      <c r="K54">
        <v>0.89</v>
      </c>
    </row>
    <row r="55" spans="1:11" x14ac:dyDescent="0.3">
      <c r="A55" t="s">
        <v>28</v>
      </c>
      <c r="C55">
        <v>12417</v>
      </c>
      <c r="D55">
        <v>10315.4</v>
      </c>
      <c r="E55">
        <v>0.83</v>
      </c>
      <c r="F55">
        <v>4451</v>
      </c>
      <c r="G55">
        <v>3838.2</v>
      </c>
      <c r="H55">
        <v>0.86</v>
      </c>
      <c r="I55">
        <v>16868</v>
      </c>
      <c r="J55">
        <v>14153.7</v>
      </c>
      <c r="K55">
        <v>0.84</v>
      </c>
    </row>
    <row r="56" spans="1:11" x14ac:dyDescent="0.3">
      <c r="A56" t="s">
        <v>29</v>
      </c>
      <c r="C56">
        <v>1.06E-2</v>
      </c>
      <c r="D56">
        <v>0.1991</v>
      </c>
      <c r="E56">
        <v>0.1865</v>
      </c>
      <c r="F56">
        <v>-2.64E-2</v>
      </c>
      <c r="G56">
        <v>0.151</v>
      </c>
      <c r="H56">
        <v>0.18210000000000001</v>
      </c>
      <c r="I56">
        <v>5.9999999999999995E-4</v>
      </c>
      <c r="J56">
        <v>0.18559999999999999</v>
      </c>
      <c r="K56">
        <v>0.185</v>
      </c>
    </row>
    <row r="57" spans="1:11" x14ac:dyDescent="0.3">
      <c r="A57">
        <v>2004</v>
      </c>
      <c r="B57" t="s">
        <v>11</v>
      </c>
      <c r="C57">
        <v>1065.2</v>
      </c>
      <c r="D57">
        <v>1008.2</v>
      </c>
      <c r="E57">
        <v>0.95</v>
      </c>
      <c r="F57">
        <v>371.3</v>
      </c>
      <c r="G57">
        <v>368.9</v>
      </c>
      <c r="H57">
        <v>0.99</v>
      </c>
      <c r="I57">
        <v>1436.5</v>
      </c>
      <c r="J57">
        <v>1377.1</v>
      </c>
      <c r="K57">
        <v>0.96</v>
      </c>
    </row>
    <row r="58" spans="1:11" x14ac:dyDescent="0.3">
      <c r="A58">
        <v>2004</v>
      </c>
      <c r="B58" t="s">
        <v>12</v>
      </c>
      <c r="C58">
        <v>1032.4000000000001</v>
      </c>
      <c r="D58">
        <v>997.4</v>
      </c>
      <c r="E58">
        <v>0.97</v>
      </c>
      <c r="F58">
        <v>347.1</v>
      </c>
      <c r="G58">
        <v>352.4</v>
      </c>
      <c r="H58">
        <v>1.02</v>
      </c>
      <c r="I58">
        <v>1379.5</v>
      </c>
      <c r="J58">
        <v>1349.8</v>
      </c>
      <c r="K58">
        <v>0.98</v>
      </c>
    </row>
    <row r="59" spans="1:11" x14ac:dyDescent="0.3">
      <c r="A59">
        <v>2004</v>
      </c>
      <c r="B59" t="s">
        <v>13</v>
      </c>
      <c r="C59">
        <v>1140.5</v>
      </c>
      <c r="D59">
        <v>1116.5</v>
      </c>
      <c r="E59">
        <v>0.98</v>
      </c>
      <c r="F59">
        <v>373.6</v>
      </c>
      <c r="G59">
        <v>394.5</v>
      </c>
      <c r="H59">
        <v>1.06</v>
      </c>
      <c r="I59">
        <v>1514</v>
      </c>
      <c r="J59">
        <v>1511</v>
      </c>
      <c r="K59">
        <v>1</v>
      </c>
    </row>
    <row r="60" spans="1:11" x14ac:dyDescent="0.3">
      <c r="A60">
        <v>2004</v>
      </c>
      <c r="B60" t="s">
        <v>14</v>
      </c>
      <c r="C60">
        <v>1094.4000000000001</v>
      </c>
      <c r="D60">
        <v>1092.5</v>
      </c>
      <c r="E60">
        <v>1</v>
      </c>
      <c r="F60">
        <v>380.9</v>
      </c>
      <c r="G60">
        <v>393.6</v>
      </c>
      <c r="H60">
        <v>1.03</v>
      </c>
      <c r="I60">
        <v>1475.4</v>
      </c>
      <c r="J60">
        <v>1486.1</v>
      </c>
      <c r="K60">
        <v>1.01</v>
      </c>
    </row>
    <row r="61" spans="1:11" x14ac:dyDescent="0.3">
      <c r="A61">
        <v>2004</v>
      </c>
      <c r="B61" t="s">
        <v>15</v>
      </c>
      <c r="C61">
        <v>1120.4000000000001</v>
      </c>
      <c r="D61">
        <v>1206.5</v>
      </c>
      <c r="E61">
        <v>1.08</v>
      </c>
      <c r="F61">
        <v>402.4</v>
      </c>
      <c r="G61">
        <v>443.9</v>
      </c>
      <c r="H61">
        <v>1.1000000000000001</v>
      </c>
      <c r="I61">
        <v>1522.8</v>
      </c>
      <c r="J61">
        <v>1650.5</v>
      </c>
      <c r="K61">
        <v>1.08</v>
      </c>
    </row>
    <row r="62" spans="1:11" x14ac:dyDescent="0.3">
      <c r="A62">
        <v>2004</v>
      </c>
      <c r="B62" t="s">
        <v>16</v>
      </c>
      <c r="C62">
        <v>1136.3</v>
      </c>
      <c r="D62">
        <v>1218.3</v>
      </c>
      <c r="E62">
        <v>1.07</v>
      </c>
      <c r="F62">
        <v>413</v>
      </c>
      <c r="G62">
        <v>465.8</v>
      </c>
      <c r="H62">
        <v>1.1299999999999999</v>
      </c>
      <c r="I62">
        <v>1549.3</v>
      </c>
      <c r="J62">
        <v>1684.1</v>
      </c>
      <c r="K62">
        <v>1.0900000000000001</v>
      </c>
    </row>
    <row r="63" spans="1:11" x14ac:dyDescent="0.3">
      <c r="A63">
        <v>2004</v>
      </c>
      <c r="B63" t="s">
        <v>17</v>
      </c>
      <c r="C63">
        <v>1181.5999999999999</v>
      </c>
      <c r="D63">
        <v>1309</v>
      </c>
      <c r="E63">
        <v>1.1100000000000001</v>
      </c>
      <c r="F63">
        <v>432.1</v>
      </c>
      <c r="G63">
        <v>493.7</v>
      </c>
      <c r="H63">
        <v>1.1399999999999999</v>
      </c>
      <c r="I63">
        <v>1613.7</v>
      </c>
      <c r="J63">
        <v>1802.8</v>
      </c>
      <c r="K63">
        <v>1.1200000000000001</v>
      </c>
    </row>
    <row r="64" spans="1:11" x14ac:dyDescent="0.3">
      <c r="A64">
        <v>2004</v>
      </c>
      <c r="B64" t="s">
        <v>18</v>
      </c>
      <c r="C64">
        <v>1185.4000000000001</v>
      </c>
      <c r="D64">
        <v>1392</v>
      </c>
      <c r="E64">
        <v>1.17</v>
      </c>
      <c r="F64">
        <v>432.4</v>
      </c>
      <c r="G64">
        <v>530.79999999999995</v>
      </c>
      <c r="H64">
        <v>1.23</v>
      </c>
      <c r="I64">
        <v>1617.8</v>
      </c>
      <c r="J64">
        <v>1922.8</v>
      </c>
      <c r="K64">
        <v>1.19</v>
      </c>
    </row>
    <row r="65" spans="1:11" x14ac:dyDescent="0.3">
      <c r="A65">
        <v>2004</v>
      </c>
      <c r="B65" t="s">
        <v>19</v>
      </c>
      <c r="C65">
        <v>1058.2</v>
      </c>
      <c r="D65">
        <v>1304.4000000000001</v>
      </c>
      <c r="E65">
        <v>1.23</v>
      </c>
      <c r="F65">
        <v>402.3</v>
      </c>
      <c r="G65">
        <v>523.5</v>
      </c>
      <c r="H65">
        <v>1.3</v>
      </c>
      <c r="I65">
        <v>1460.5</v>
      </c>
      <c r="J65">
        <v>1827.9</v>
      </c>
      <c r="K65">
        <v>1.25</v>
      </c>
    </row>
    <row r="66" spans="1:11" x14ac:dyDescent="0.3">
      <c r="A66">
        <v>2004</v>
      </c>
      <c r="B66" t="s">
        <v>20</v>
      </c>
      <c r="C66">
        <v>1137.9000000000001</v>
      </c>
      <c r="D66">
        <v>1562.7</v>
      </c>
      <c r="E66">
        <v>1.37</v>
      </c>
      <c r="F66">
        <v>411.8</v>
      </c>
      <c r="G66">
        <v>592.4</v>
      </c>
      <c r="H66">
        <v>1.44</v>
      </c>
      <c r="I66">
        <v>1549.8</v>
      </c>
      <c r="J66">
        <v>2155.1999999999998</v>
      </c>
      <c r="K66">
        <v>1.39</v>
      </c>
    </row>
    <row r="67" spans="1:11" x14ac:dyDescent="0.3">
      <c r="A67">
        <v>2004</v>
      </c>
      <c r="B67" t="s">
        <v>21</v>
      </c>
      <c r="C67">
        <v>1084.8</v>
      </c>
      <c r="D67">
        <v>1479.2</v>
      </c>
      <c r="E67">
        <v>1.36</v>
      </c>
      <c r="F67">
        <v>390.2</v>
      </c>
      <c r="G67">
        <v>569.29999999999995</v>
      </c>
      <c r="H67">
        <v>1.46</v>
      </c>
      <c r="I67">
        <v>1475</v>
      </c>
      <c r="J67">
        <v>2048.4</v>
      </c>
      <c r="K67">
        <v>1.39</v>
      </c>
    </row>
    <row r="68" spans="1:11" x14ac:dyDescent="0.3">
      <c r="A68">
        <v>2004</v>
      </c>
      <c r="B68" t="s">
        <v>22</v>
      </c>
      <c r="C68">
        <v>1142.8</v>
      </c>
      <c r="D68">
        <v>1454.4</v>
      </c>
      <c r="E68">
        <v>1.27</v>
      </c>
      <c r="F68">
        <v>407.5</v>
      </c>
      <c r="G68">
        <v>561.79999999999995</v>
      </c>
      <c r="H68">
        <v>1.38</v>
      </c>
      <c r="I68">
        <v>1550.3</v>
      </c>
      <c r="J68">
        <v>2016.2</v>
      </c>
      <c r="K68">
        <v>1.3</v>
      </c>
    </row>
    <row r="69" spans="1:11" x14ac:dyDescent="0.3">
      <c r="A69" t="s">
        <v>30</v>
      </c>
      <c r="C69">
        <v>13380</v>
      </c>
      <c r="D69">
        <v>15141.2</v>
      </c>
      <c r="E69">
        <v>1.1299999999999999</v>
      </c>
      <c r="F69">
        <v>4764.7</v>
      </c>
      <c r="G69">
        <v>5690.7</v>
      </c>
      <c r="H69">
        <v>1.19</v>
      </c>
      <c r="I69">
        <v>18144.7</v>
      </c>
      <c r="J69">
        <v>20831.900000000001</v>
      </c>
      <c r="K69">
        <v>1.1499999999999999</v>
      </c>
    </row>
    <row r="70" spans="1:11" x14ac:dyDescent="0.3">
      <c r="A70" t="s">
        <v>31</v>
      </c>
      <c r="C70">
        <v>7.7600000000000002E-2</v>
      </c>
      <c r="D70">
        <v>0.46779999999999999</v>
      </c>
      <c r="E70">
        <v>0.36220000000000002</v>
      </c>
      <c r="F70">
        <v>7.0499999999999993E-2</v>
      </c>
      <c r="G70">
        <v>0.48259999999999997</v>
      </c>
      <c r="H70">
        <v>0.38500000000000001</v>
      </c>
      <c r="I70">
        <v>7.5700000000000003E-2</v>
      </c>
      <c r="J70">
        <v>0.4718</v>
      </c>
      <c r="K70">
        <v>0.36830000000000002</v>
      </c>
    </row>
    <row r="71" spans="1:11" x14ac:dyDescent="0.3">
      <c r="A71">
        <v>2005</v>
      </c>
      <c r="B71" t="s">
        <v>11</v>
      </c>
      <c r="C71">
        <v>1084.7</v>
      </c>
      <c r="D71">
        <v>1378.2</v>
      </c>
      <c r="E71">
        <v>1.27</v>
      </c>
      <c r="F71">
        <v>405.2</v>
      </c>
      <c r="G71">
        <v>538.70000000000005</v>
      </c>
      <c r="H71">
        <v>1.33</v>
      </c>
      <c r="I71">
        <v>1489.9</v>
      </c>
      <c r="J71">
        <v>1916.9</v>
      </c>
      <c r="K71">
        <v>1.29</v>
      </c>
    </row>
    <row r="72" spans="1:11" x14ac:dyDescent="0.3">
      <c r="A72">
        <v>2005</v>
      </c>
      <c r="B72" t="s">
        <v>12</v>
      </c>
      <c r="C72">
        <v>1017</v>
      </c>
      <c r="D72">
        <v>1333.5</v>
      </c>
      <c r="E72">
        <v>1.31</v>
      </c>
      <c r="F72">
        <v>368.3</v>
      </c>
      <c r="G72">
        <v>503</v>
      </c>
      <c r="H72">
        <v>1.37</v>
      </c>
      <c r="I72">
        <v>1385.3</v>
      </c>
      <c r="J72">
        <v>1836.5</v>
      </c>
      <c r="K72">
        <v>1.33</v>
      </c>
    </row>
    <row r="73" spans="1:11" x14ac:dyDescent="0.3">
      <c r="A73">
        <v>2005</v>
      </c>
      <c r="B73" t="s">
        <v>13</v>
      </c>
      <c r="C73">
        <v>1162.9000000000001</v>
      </c>
      <c r="D73">
        <v>1675.5</v>
      </c>
      <c r="E73">
        <v>1.44</v>
      </c>
      <c r="F73">
        <v>424.1</v>
      </c>
      <c r="G73">
        <v>604</v>
      </c>
      <c r="H73">
        <v>1.42</v>
      </c>
      <c r="I73">
        <v>1587</v>
      </c>
      <c r="J73">
        <v>2279.4</v>
      </c>
      <c r="K73">
        <v>1.44</v>
      </c>
    </row>
    <row r="74" spans="1:11" x14ac:dyDescent="0.3">
      <c r="A74">
        <v>2005</v>
      </c>
      <c r="B74" t="s">
        <v>14</v>
      </c>
      <c r="C74">
        <v>1098.7</v>
      </c>
      <c r="D74">
        <v>1705.3</v>
      </c>
      <c r="E74">
        <v>1.55</v>
      </c>
      <c r="F74">
        <v>410.4</v>
      </c>
      <c r="G74">
        <v>698.8</v>
      </c>
      <c r="H74">
        <v>1.7</v>
      </c>
      <c r="I74">
        <v>1509.1</v>
      </c>
      <c r="J74">
        <v>2404.1</v>
      </c>
      <c r="K74">
        <v>1.59</v>
      </c>
    </row>
    <row r="75" spans="1:11" x14ac:dyDescent="0.3">
      <c r="A75">
        <v>2005</v>
      </c>
      <c r="B75" t="s">
        <v>15</v>
      </c>
      <c r="C75">
        <v>1123.5999999999999</v>
      </c>
      <c r="D75">
        <v>1699.2</v>
      </c>
      <c r="E75">
        <v>1.51</v>
      </c>
      <c r="F75">
        <v>426.1</v>
      </c>
      <c r="G75">
        <v>700</v>
      </c>
      <c r="H75">
        <v>1.64</v>
      </c>
      <c r="I75">
        <v>1549.7</v>
      </c>
      <c r="J75">
        <v>2399.1999999999998</v>
      </c>
      <c r="K75">
        <v>1.55</v>
      </c>
    </row>
    <row r="76" spans="1:11" x14ac:dyDescent="0.3">
      <c r="A76">
        <v>2005</v>
      </c>
      <c r="B76" t="s">
        <v>16</v>
      </c>
      <c r="C76">
        <v>1148.9000000000001</v>
      </c>
      <c r="D76">
        <v>1777.3</v>
      </c>
      <c r="E76">
        <v>1.55</v>
      </c>
      <c r="F76">
        <v>441</v>
      </c>
      <c r="G76">
        <v>709.6</v>
      </c>
      <c r="H76">
        <v>1.61</v>
      </c>
      <c r="I76">
        <v>1589.9</v>
      </c>
      <c r="J76">
        <v>2486.9</v>
      </c>
      <c r="K76">
        <v>1.56</v>
      </c>
    </row>
    <row r="77" spans="1:11" x14ac:dyDescent="0.3">
      <c r="A77">
        <v>2005</v>
      </c>
      <c r="B77" t="s">
        <v>17</v>
      </c>
      <c r="C77">
        <v>1193.7</v>
      </c>
      <c r="D77">
        <v>1915.2</v>
      </c>
      <c r="E77">
        <v>1.6</v>
      </c>
      <c r="F77">
        <v>460.9</v>
      </c>
      <c r="G77">
        <v>785.7</v>
      </c>
      <c r="H77">
        <v>1.7</v>
      </c>
      <c r="I77">
        <v>1654.6</v>
      </c>
      <c r="J77">
        <v>2701</v>
      </c>
      <c r="K77">
        <v>1.63</v>
      </c>
    </row>
    <row r="78" spans="1:11" x14ac:dyDescent="0.3">
      <c r="A78">
        <v>2005</v>
      </c>
      <c r="B78" t="s">
        <v>18</v>
      </c>
      <c r="C78">
        <v>1185.4000000000001</v>
      </c>
      <c r="D78">
        <v>2118.3000000000002</v>
      </c>
      <c r="E78">
        <v>1.79</v>
      </c>
      <c r="F78">
        <v>456.7</v>
      </c>
      <c r="G78">
        <v>816.1</v>
      </c>
      <c r="H78">
        <v>1.79</v>
      </c>
      <c r="I78">
        <v>1642.2</v>
      </c>
      <c r="J78">
        <v>2934.3</v>
      </c>
      <c r="K78">
        <v>1.79</v>
      </c>
    </row>
    <row r="79" spans="1:11" x14ac:dyDescent="0.3">
      <c r="A79">
        <v>2005</v>
      </c>
      <c r="B79" t="s">
        <v>19</v>
      </c>
      <c r="C79">
        <v>1054.4000000000001</v>
      </c>
      <c r="D79">
        <v>1986</v>
      </c>
      <c r="E79">
        <v>1.88</v>
      </c>
      <c r="F79">
        <v>421.9</v>
      </c>
      <c r="G79">
        <v>829.2</v>
      </c>
      <c r="H79">
        <v>1.97</v>
      </c>
      <c r="I79">
        <v>1476.2</v>
      </c>
      <c r="J79">
        <v>2815.2</v>
      </c>
      <c r="K79">
        <v>1.91</v>
      </c>
    </row>
    <row r="80" spans="1:11" x14ac:dyDescent="0.3">
      <c r="A80">
        <v>2005</v>
      </c>
      <c r="B80" t="s">
        <v>20</v>
      </c>
      <c r="C80">
        <v>1062</v>
      </c>
      <c r="D80">
        <v>2280.4</v>
      </c>
      <c r="E80">
        <v>2.15</v>
      </c>
      <c r="F80">
        <v>417.1</v>
      </c>
      <c r="G80">
        <v>886.5</v>
      </c>
      <c r="H80">
        <v>2.13</v>
      </c>
      <c r="I80">
        <v>1479.1</v>
      </c>
      <c r="J80">
        <v>3166.9</v>
      </c>
      <c r="K80">
        <v>2.14</v>
      </c>
    </row>
    <row r="81" spans="1:11" x14ac:dyDescent="0.3">
      <c r="A81">
        <v>2005</v>
      </c>
      <c r="B81" t="s">
        <v>21</v>
      </c>
      <c r="C81">
        <v>1055.0999999999999</v>
      </c>
      <c r="D81">
        <v>1961</v>
      </c>
      <c r="E81">
        <v>1.86</v>
      </c>
      <c r="F81">
        <v>393.3</v>
      </c>
      <c r="G81">
        <v>783.7</v>
      </c>
      <c r="H81">
        <v>1.99</v>
      </c>
      <c r="I81">
        <v>1448.4</v>
      </c>
      <c r="J81">
        <v>2744.6</v>
      </c>
      <c r="K81">
        <v>1.89</v>
      </c>
    </row>
    <row r="82" spans="1:11" x14ac:dyDescent="0.3">
      <c r="A82">
        <v>2005</v>
      </c>
      <c r="B82" t="s">
        <v>22</v>
      </c>
      <c r="C82">
        <v>1097.8</v>
      </c>
      <c r="D82">
        <v>1853</v>
      </c>
      <c r="E82">
        <v>1.69</v>
      </c>
      <c r="F82">
        <v>415.3</v>
      </c>
      <c r="G82">
        <v>745.6</v>
      </c>
      <c r="H82">
        <v>1.8</v>
      </c>
      <c r="I82">
        <v>1513.1</v>
      </c>
      <c r="J82">
        <v>2598.6</v>
      </c>
      <c r="K82">
        <v>1.72</v>
      </c>
    </row>
    <row r="83" spans="1:11" x14ac:dyDescent="0.3">
      <c r="A83" t="s">
        <v>32</v>
      </c>
      <c r="C83">
        <v>13284.2</v>
      </c>
      <c r="D83">
        <v>21682.9</v>
      </c>
      <c r="E83">
        <v>1.63</v>
      </c>
      <c r="F83">
        <v>5040.3</v>
      </c>
      <c r="G83">
        <v>8600.7999999999993</v>
      </c>
      <c r="H83">
        <v>1.71</v>
      </c>
      <c r="I83">
        <v>18324.5</v>
      </c>
      <c r="J83">
        <v>30283.7</v>
      </c>
      <c r="K83">
        <v>1.65</v>
      </c>
    </row>
    <row r="84" spans="1:11" x14ac:dyDescent="0.3">
      <c r="A84" t="s">
        <v>33</v>
      </c>
      <c r="C84">
        <v>-7.1999999999999998E-3</v>
      </c>
      <c r="D84">
        <v>0.432</v>
      </c>
      <c r="E84">
        <v>0.44240000000000002</v>
      </c>
      <c r="F84">
        <v>5.7799999999999997E-2</v>
      </c>
      <c r="G84">
        <v>0.51139999999999997</v>
      </c>
      <c r="H84">
        <v>0.42870000000000003</v>
      </c>
      <c r="I84">
        <v>9.9000000000000008E-3</v>
      </c>
      <c r="J84">
        <v>0.45369999999999999</v>
      </c>
      <c r="K84">
        <v>0.4395</v>
      </c>
    </row>
    <row r="85" spans="1:11" x14ac:dyDescent="0.3">
      <c r="A85">
        <v>2006</v>
      </c>
      <c r="B85" t="s">
        <v>11</v>
      </c>
      <c r="C85">
        <v>1048</v>
      </c>
      <c r="D85">
        <v>1874.3</v>
      </c>
      <c r="E85">
        <v>1.79</v>
      </c>
      <c r="F85">
        <v>411.2</v>
      </c>
      <c r="G85">
        <v>748.2</v>
      </c>
      <c r="H85">
        <v>1.82</v>
      </c>
      <c r="I85">
        <v>1459.2</v>
      </c>
      <c r="J85">
        <v>2622.6</v>
      </c>
      <c r="K85">
        <v>1.8</v>
      </c>
    </row>
    <row r="86" spans="1:11" x14ac:dyDescent="0.3">
      <c r="A86">
        <v>2006</v>
      </c>
      <c r="B86" t="s">
        <v>12</v>
      </c>
      <c r="C86">
        <v>967.2</v>
      </c>
      <c r="D86">
        <v>1754.9</v>
      </c>
      <c r="E86">
        <v>1.81</v>
      </c>
      <c r="F86">
        <v>372.1</v>
      </c>
      <c r="G86">
        <v>693.6</v>
      </c>
      <c r="H86">
        <v>1.86</v>
      </c>
      <c r="I86">
        <v>1339.3</v>
      </c>
      <c r="J86">
        <v>2448.5</v>
      </c>
      <c r="K86">
        <v>1.83</v>
      </c>
    </row>
    <row r="87" spans="1:11" x14ac:dyDescent="0.3">
      <c r="A87">
        <v>2006</v>
      </c>
      <c r="B87" t="s">
        <v>13</v>
      </c>
      <c r="C87">
        <v>1118</v>
      </c>
      <c r="D87">
        <v>2015.1</v>
      </c>
      <c r="E87">
        <v>1.8</v>
      </c>
      <c r="F87">
        <v>440.4</v>
      </c>
      <c r="G87">
        <v>824</v>
      </c>
      <c r="H87">
        <v>1.87</v>
      </c>
      <c r="I87">
        <v>1558.4</v>
      </c>
      <c r="J87">
        <v>2839.1</v>
      </c>
      <c r="K87">
        <v>1.82</v>
      </c>
    </row>
    <row r="88" spans="1:11" x14ac:dyDescent="0.3">
      <c r="A88">
        <v>2006</v>
      </c>
      <c r="B88" t="s">
        <v>14</v>
      </c>
      <c r="C88">
        <v>1070.8</v>
      </c>
      <c r="D88">
        <v>2026.3</v>
      </c>
      <c r="E88">
        <v>1.89</v>
      </c>
      <c r="F88">
        <v>426.2</v>
      </c>
      <c r="G88">
        <v>838.3</v>
      </c>
      <c r="H88">
        <v>1.97</v>
      </c>
      <c r="I88">
        <v>1497</v>
      </c>
      <c r="J88">
        <v>2864.6</v>
      </c>
      <c r="K88">
        <v>1.91</v>
      </c>
    </row>
    <row r="89" spans="1:11" x14ac:dyDescent="0.3">
      <c r="A89">
        <v>2006</v>
      </c>
      <c r="B89" t="s">
        <v>15</v>
      </c>
      <c r="C89">
        <v>1084.9000000000001</v>
      </c>
      <c r="D89">
        <v>2213</v>
      </c>
      <c r="E89">
        <v>2.04</v>
      </c>
      <c r="F89">
        <v>448.1</v>
      </c>
      <c r="G89">
        <v>937.7</v>
      </c>
      <c r="H89">
        <v>2.09</v>
      </c>
      <c r="I89">
        <v>1533</v>
      </c>
      <c r="J89">
        <v>3150.7</v>
      </c>
      <c r="K89">
        <v>2.06</v>
      </c>
    </row>
    <row r="90" spans="1:11" x14ac:dyDescent="0.3">
      <c r="A90">
        <v>2006</v>
      </c>
      <c r="B90" t="s">
        <v>16</v>
      </c>
      <c r="C90">
        <v>1117.3</v>
      </c>
      <c r="D90">
        <v>2294.3000000000002</v>
      </c>
      <c r="E90">
        <v>2.0499999999999998</v>
      </c>
      <c r="F90">
        <v>437.9</v>
      </c>
      <c r="G90">
        <v>955.2</v>
      </c>
      <c r="H90">
        <v>2.1800000000000002</v>
      </c>
      <c r="I90">
        <v>1555.3</v>
      </c>
      <c r="J90">
        <v>3249.5</v>
      </c>
      <c r="K90">
        <v>2.09</v>
      </c>
    </row>
    <row r="91" spans="1:11" x14ac:dyDescent="0.3">
      <c r="A91">
        <v>2006</v>
      </c>
      <c r="B91" t="s">
        <v>17</v>
      </c>
      <c r="C91">
        <v>1141.9000000000001</v>
      </c>
      <c r="D91">
        <v>2370.6999999999998</v>
      </c>
      <c r="E91">
        <v>2.08</v>
      </c>
      <c r="F91">
        <v>472.8</v>
      </c>
      <c r="G91">
        <v>1023.5</v>
      </c>
      <c r="H91">
        <v>2.16</v>
      </c>
      <c r="I91">
        <v>1614.8</v>
      </c>
      <c r="J91">
        <v>3394.2</v>
      </c>
      <c r="K91">
        <v>2.1</v>
      </c>
    </row>
    <row r="92" spans="1:11" x14ac:dyDescent="0.3">
      <c r="A92">
        <v>2006</v>
      </c>
      <c r="B92" t="s">
        <v>18</v>
      </c>
      <c r="C92">
        <v>1160.5</v>
      </c>
      <c r="D92">
        <v>2460.3000000000002</v>
      </c>
      <c r="E92">
        <v>2.12</v>
      </c>
      <c r="F92">
        <v>474.4</v>
      </c>
      <c r="G92">
        <v>1044</v>
      </c>
      <c r="H92">
        <v>2.2000000000000002</v>
      </c>
      <c r="I92">
        <v>1634.9</v>
      </c>
      <c r="J92">
        <v>3504.3</v>
      </c>
      <c r="K92">
        <v>2.14</v>
      </c>
    </row>
    <row r="93" spans="1:11" x14ac:dyDescent="0.3">
      <c r="A93">
        <v>2006</v>
      </c>
      <c r="B93" t="s">
        <v>19</v>
      </c>
      <c r="C93">
        <v>1052</v>
      </c>
      <c r="D93">
        <v>2091.6999999999998</v>
      </c>
      <c r="E93">
        <v>1.99</v>
      </c>
      <c r="F93">
        <v>441.3</v>
      </c>
      <c r="G93">
        <v>954.7</v>
      </c>
      <c r="H93">
        <v>2.16</v>
      </c>
      <c r="I93">
        <v>1493.3</v>
      </c>
      <c r="J93">
        <v>3046.4</v>
      </c>
      <c r="K93">
        <v>2.04</v>
      </c>
    </row>
    <row r="94" spans="1:11" x14ac:dyDescent="0.3">
      <c r="A94">
        <v>2006</v>
      </c>
      <c r="B94" t="s">
        <v>20</v>
      </c>
      <c r="C94">
        <v>1095.4000000000001</v>
      </c>
      <c r="D94">
        <v>2041.9</v>
      </c>
      <c r="E94">
        <v>1.86</v>
      </c>
      <c r="F94">
        <v>440</v>
      </c>
      <c r="G94">
        <v>887.2</v>
      </c>
      <c r="H94">
        <v>2.02</v>
      </c>
      <c r="I94">
        <v>1535.4</v>
      </c>
      <c r="J94">
        <v>2929.1</v>
      </c>
      <c r="K94">
        <v>1.91</v>
      </c>
    </row>
    <row r="95" spans="1:11" x14ac:dyDescent="0.3">
      <c r="A95">
        <v>2006</v>
      </c>
      <c r="B95" t="s">
        <v>21</v>
      </c>
      <c r="C95">
        <v>1061.5999999999999</v>
      </c>
      <c r="D95">
        <v>1914.8</v>
      </c>
      <c r="E95">
        <v>1.8</v>
      </c>
      <c r="F95">
        <v>423.8</v>
      </c>
      <c r="G95">
        <v>800.3</v>
      </c>
      <c r="H95">
        <v>1.89</v>
      </c>
      <c r="I95">
        <v>1485.4</v>
      </c>
      <c r="J95">
        <v>2715.1</v>
      </c>
      <c r="K95">
        <v>1.83</v>
      </c>
    </row>
    <row r="96" spans="1:11" x14ac:dyDescent="0.3">
      <c r="A96">
        <v>2006</v>
      </c>
      <c r="B96" t="s">
        <v>22</v>
      </c>
      <c r="C96">
        <v>1101.7</v>
      </c>
      <c r="D96">
        <v>2048.1</v>
      </c>
      <c r="E96">
        <v>1.86</v>
      </c>
      <c r="F96">
        <v>432</v>
      </c>
      <c r="G96">
        <v>828.4</v>
      </c>
      <c r="H96">
        <v>1.92</v>
      </c>
      <c r="I96">
        <v>1533.7</v>
      </c>
      <c r="J96">
        <v>2876.5</v>
      </c>
      <c r="K96">
        <v>1.88</v>
      </c>
    </row>
    <row r="97" spans="1:11" x14ac:dyDescent="0.3">
      <c r="A97" t="s">
        <v>34</v>
      </c>
      <c r="C97">
        <v>13019.4</v>
      </c>
      <c r="D97">
        <v>25105.4</v>
      </c>
      <c r="E97">
        <v>1.93</v>
      </c>
      <c r="F97">
        <v>5220.3</v>
      </c>
      <c r="G97">
        <v>10535.2</v>
      </c>
      <c r="H97">
        <v>2.02</v>
      </c>
      <c r="I97">
        <v>18239.7</v>
      </c>
      <c r="J97">
        <v>35640.6</v>
      </c>
      <c r="K97">
        <v>1.95</v>
      </c>
    </row>
    <row r="98" spans="1:11" x14ac:dyDescent="0.3">
      <c r="A98" t="s">
        <v>35</v>
      </c>
      <c r="C98">
        <v>-1.9900000000000001E-2</v>
      </c>
      <c r="D98">
        <v>0.1578</v>
      </c>
      <c r="E98">
        <v>0.18140000000000001</v>
      </c>
      <c r="F98">
        <v>3.5700000000000003E-2</v>
      </c>
      <c r="G98">
        <v>0.22489999999999999</v>
      </c>
      <c r="H98">
        <v>0.1827</v>
      </c>
      <c r="I98">
        <v>-4.5999999999999999E-3</v>
      </c>
      <c r="J98">
        <v>0.1769</v>
      </c>
      <c r="K98">
        <v>0.18240000000000001</v>
      </c>
    </row>
    <row r="99" spans="1:11" x14ac:dyDescent="0.3">
      <c r="A99">
        <v>2007</v>
      </c>
      <c r="B99" t="s">
        <v>11</v>
      </c>
      <c r="C99">
        <v>1062.2</v>
      </c>
      <c r="D99">
        <v>1929.7</v>
      </c>
      <c r="E99">
        <v>1.82</v>
      </c>
      <c r="F99">
        <v>431.5</v>
      </c>
      <c r="G99">
        <v>821.4</v>
      </c>
      <c r="H99">
        <v>1.9</v>
      </c>
      <c r="I99">
        <v>1493.7</v>
      </c>
      <c r="J99">
        <v>2751</v>
      </c>
      <c r="K99">
        <v>1.84</v>
      </c>
    </row>
    <row r="100" spans="1:11" x14ac:dyDescent="0.3">
      <c r="A100">
        <v>2007</v>
      </c>
      <c r="B100" t="s">
        <v>12</v>
      </c>
      <c r="C100">
        <v>970.1</v>
      </c>
      <c r="D100">
        <v>1689.2</v>
      </c>
      <c r="E100">
        <v>1.74</v>
      </c>
      <c r="F100">
        <v>382.6</v>
      </c>
      <c r="G100">
        <v>681.1</v>
      </c>
      <c r="H100">
        <v>1.78</v>
      </c>
      <c r="I100">
        <v>1352.6</v>
      </c>
      <c r="J100">
        <v>2370.3000000000002</v>
      </c>
      <c r="K100">
        <v>1.75</v>
      </c>
    </row>
    <row r="101" spans="1:11" x14ac:dyDescent="0.3">
      <c r="A101">
        <v>2007</v>
      </c>
      <c r="B101" t="s">
        <v>13</v>
      </c>
      <c r="C101">
        <v>1113.2</v>
      </c>
      <c r="D101">
        <v>2019.1</v>
      </c>
      <c r="E101">
        <v>1.81</v>
      </c>
      <c r="F101">
        <v>450.7</v>
      </c>
      <c r="G101">
        <v>838.4</v>
      </c>
      <c r="H101">
        <v>1.86</v>
      </c>
      <c r="I101">
        <v>1563.9</v>
      </c>
      <c r="J101">
        <v>2857.6</v>
      </c>
      <c r="K101">
        <v>1.83</v>
      </c>
    </row>
    <row r="102" spans="1:11" x14ac:dyDescent="0.3">
      <c r="A102">
        <v>2007</v>
      </c>
      <c r="B102" t="s">
        <v>14</v>
      </c>
      <c r="C102">
        <v>1075.9000000000001</v>
      </c>
      <c r="D102">
        <v>2082.1</v>
      </c>
      <c r="E102">
        <v>1.94</v>
      </c>
      <c r="F102">
        <v>436.6</v>
      </c>
      <c r="G102">
        <v>851.8</v>
      </c>
      <c r="H102">
        <v>1.95</v>
      </c>
      <c r="I102">
        <v>1512.5</v>
      </c>
      <c r="J102">
        <v>2933.8</v>
      </c>
      <c r="K102">
        <v>1.94</v>
      </c>
    </row>
    <row r="103" spans="1:11" x14ac:dyDescent="0.3">
      <c r="A103">
        <v>2007</v>
      </c>
      <c r="B103" t="s">
        <v>15</v>
      </c>
      <c r="C103">
        <v>1101.8</v>
      </c>
      <c r="D103">
        <v>2248.1999999999998</v>
      </c>
      <c r="E103">
        <v>2.04</v>
      </c>
      <c r="F103">
        <v>456.8</v>
      </c>
      <c r="G103">
        <v>985</v>
      </c>
      <c r="H103">
        <v>2.16</v>
      </c>
      <c r="I103">
        <v>1558.5</v>
      </c>
      <c r="J103">
        <v>3233.2</v>
      </c>
      <c r="K103">
        <v>2.0699999999999998</v>
      </c>
    </row>
    <row r="104" spans="1:11" x14ac:dyDescent="0.3">
      <c r="A104">
        <v>2007</v>
      </c>
      <c r="B104" t="s">
        <v>16</v>
      </c>
      <c r="C104">
        <v>1114.5</v>
      </c>
      <c r="D104">
        <v>2255.3000000000002</v>
      </c>
      <c r="E104">
        <v>2.02</v>
      </c>
      <c r="F104">
        <v>468.4</v>
      </c>
      <c r="G104">
        <v>982.2</v>
      </c>
      <c r="H104">
        <v>2.1</v>
      </c>
      <c r="I104">
        <v>1582.9</v>
      </c>
      <c r="J104">
        <v>3237.5</v>
      </c>
      <c r="K104">
        <v>2.0499999999999998</v>
      </c>
    </row>
    <row r="105" spans="1:11" x14ac:dyDescent="0.3">
      <c r="A105">
        <v>2007</v>
      </c>
      <c r="B105" t="s">
        <v>17</v>
      </c>
      <c r="C105">
        <v>1143.2</v>
      </c>
      <c r="D105">
        <v>2391.1999999999998</v>
      </c>
      <c r="E105">
        <v>2.09</v>
      </c>
      <c r="F105">
        <v>499.3</v>
      </c>
      <c r="G105">
        <v>1062</v>
      </c>
      <c r="H105">
        <v>2.13</v>
      </c>
      <c r="I105">
        <v>1642.4</v>
      </c>
      <c r="J105">
        <v>3453.3</v>
      </c>
      <c r="K105">
        <v>2.1</v>
      </c>
    </row>
    <row r="106" spans="1:11" x14ac:dyDescent="0.3">
      <c r="A106">
        <v>2007</v>
      </c>
      <c r="B106" t="s">
        <v>18</v>
      </c>
      <c r="C106">
        <v>1157.2</v>
      </c>
      <c r="D106">
        <v>2455.4</v>
      </c>
      <c r="E106">
        <v>2.12</v>
      </c>
      <c r="F106">
        <v>496.1</v>
      </c>
      <c r="G106">
        <v>1093.2</v>
      </c>
      <c r="H106">
        <v>2.2000000000000002</v>
      </c>
      <c r="I106">
        <v>1653.3</v>
      </c>
      <c r="J106">
        <v>3548.6</v>
      </c>
      <c r="K106">
        <v>2.15</v>
      </c>
    </row>
    <row r="107" spans="1:11" x14ac:dyDescent="0.3">
      <c r="A107">
        <v>2007</v>
      </c>
      <c r="B107" t="s">
        <v>19</v>
      </c>
      <c r="C107">
        <v>1038.4000000000001</v>
      </c>
      <c r="D107">
        <v>2183.8000000000002</v>
      </c>
      <c r="E107">
        <v>2.1</v>
      </c>
      <c r="F107">
        <v>455</v>
      </c>
      <c r="G107">
        <v>977.7</v>
      </c>
      <c r="H107">
        <v>2.15</v>
      </c>
      <c r="I107">
        <v>1493.4</v>
      </c>
      <c r="J107">
        <v>3161.4</v>
      </c>
      <c r="K107">
        <v>2.12</v>
      </c>
    </row>
    <row r="108" spans="1:11" x14ac:dyDescent="0.3">
      <c r="A108">
        <v>2007</v>
      </c>
      <c r="B108" t="s">
        <v>20</v>
      </c>
      <c r="C108">
        <v>1092</v>
      </c>
      <c r="D108">
        <v>2404.1</v>
      </c>
      <c r="E108">
        <v>2.2000000000000002</v>
      </c>
      <c r="F108">
        <v>457.3</v>
      </c>
      <c r="G108">
        <v>1044.0999999999999</v>
      </c>
      <c r="H108">
        <v>2.2799999999999998</v>
      </c>
      <c r="I108">
        <v>1549.4</v>
      </c>
      <c r="J108">
        <v>3448.3</v>
      </c>
      <c r="K108">
        <v>2.23</v>
      </c>
    </row>
    <row r="109" spans="1:11" x14ac:dyDescent="0.3">
      <c r="A109">
        <v>2007</v>
      </c>
      <c r="B109" t="s">
        <v>21</v>
      </c>
      <c r="C109">
        <v>1047.5</v>
      </c>
      <c r="D109">
        <v>2541.9</v>
      </c>
      <c r="E109">
        <v>2.4300000000000002</v>
      </c>
      <c r="F109">
        <v>435.1</v>
      </c>
      <c r="G109">
        <v>1114</v>
      </c>
      <c r="H109">
        <v>2.56</v>
      </c>
      <c r="I109">
        <v>1482.5</v>
      </c>
      <c r="J109">
        <v>3655.9</v>
      </c>
      <c r="K109">
        <v>2.4700000000000002</v>
      </c>
    </row>
    <row r="110" spans="1:11" x14ac:dyDescent="0.3">
      <c r="A110">
        <v>2007</v>
      </c>
      <c r="B110" t="s">
        <v>22</v>
      </c>
      <c r="C110">
        <v>1083</v>
      </c>
      <c r="D110">
        <v>2699.9</v>
      </c>
      <c r="E110">
        <v>2.4900000000000002</v>
      </c>
      <c r="F110">
        <v>458.6</v>
      </c>
      <c r="G110">
        <v>1234.0999999999999</v>
      </c>
      <c r="H110">
        <v>2.69</v>
      </c>
      <c r="I110">
        <v>1541.6</v>
      </c>
      <c r="J110">
        <v>3934</v>
      </c>
      <c r="K110">
        <v>2.5499999999999998</v>
      </c>
    </row>
    <row r="111" spans="1:11" x14ac:dyDescent="0.3">
      <c r="A111" t="s">
        <v>36</v>
      </c>
      <c r="C111">
        <v>12998.8</v>
      </c>
      <c r="D111">
        <v>26899.9</v>
      </c>
      <c r="E111">
        <v>2.0699999999999998</v>
      </c>
      <c r="F111">
        <v>5428</v>
      </c>
      <c r="G111">
        <v>11685</v>
      </c>
      <c r="H111">
        <v>2.15</v>
      </c>
      <c r="I111">
        <v>18426.8</v>
      </c>
      <c r="J111">
        <v>38584.9</v>
      </c>
      <c r="K111">
        <v>2.09</v>
      </c>
    </row>
    <row r="112" spans="1:11" x14ac:dyDescent="0.3">
      <c r="A112" t="s">
        <v>37</v>
      </c>
      <c r="C112">
        <v>-1.6000000000000001E-3</v>
      </c>
      <c r="D112">
        <v>7.1499999999999994E-2</v>
      </c>
      <c r="E112">
        <v>7.3200000000000001E-2</v>
      </c>
      <c r="F112">
        <v>3.9800000000000002E-2</v>
      </c>
      <c r="G112">
        <v>0.1091</v>
      </c>
      <c r="H112">
        <v>6.6699999999999995E-2</v>
      </c>
      <c r="I112">
        <v>1.03E-2</v>
      </c>
      <c r="J112">
        <v>8.2600000000000007E-2</v>
      </c>
      <c r="K112">
        <v>7.1599999999999997E-2</v>
      </c>
    </row>
    <row r="113" spans="1:11" x14ac:dyDescent="0.3">
      <c r="A113">
        <v>2008</v>
      </c>
      <c r="B113" t="s">
        <v>11</v>
      </c>
      <c r="C113">
        <v>1071.5999999999999</v>
      </c>
      <c r="D113">
        <v>2747.8</v>
      </c>
      <c r="E113">
        <v>2.56</v>
      </c>
      <c r="F113">
        <v>451.1</v>
      </c>
      <c r="G113">
        <v>1229.4000000000001</v>
      </c>
      <c r="H113">
        <v>2.73</v>
      </c>
      <c r="I113">
        <v>1522.7</v>
      </c>
      <c r="J113">
        <v>3977.2</v>
      </c>
      <c r="K113">
        <v>2.61</v>
      </c>
    </row>
    <row r="114" spans="1:11" x14ac:dyDescent="0.3">
      <c r="A114">
        <v>2008</v>
      </c>
      <c r="B114" t="s">
        <v>12</v>
      </c>
      <c r="C114">
        <v>1025.7</v>
      </c>
      <c r="D114">
        <v>2613.4</v>
      </c>
      <c r="E114">
        <v>2.5499999999999998</v>
      </c>
      <c r="F114">
        <v>418.4</v>
      </c>
      <c r="G114">
        <v>1119.0999999999999</v>
      </c>
      <c r="H114">
        <v>2.67</v>
      </c>
      <c r="I114">
        <v>1444.1</v>
      </c>
      <c r="J114">
        <v>3732.5</v>
      </c>
      <c r="K114">
        <v>2.58</v>
      </c>
    </row>
    <row r="115" spans="1:11" x14ac:dyDescent="0.3">
      <c r="A115">
        <v>2008</v>
      </c>
      <c r="B115" t="s">
        <v>13</v>
      </c>
      <c r="C115">
        <v>1117.9000000000001</v>
      </c>
      <c r="D115">
        <v>3197</v>
      </c>
      <c r="E115">
        <v>2.86</v>
      </c>
      <c r="F115">
        <v>461.7</v>
      </c>
      <c r="G115">
        <v>1374.1</v>
      </c>
      <c r="H115">
        <v>2.98</v>
      </c>
      <c r="I115">
        <v>1579.6</v>
      </c>
      <c r="J115">
        <v>4571.1000000000004</v>
      </c>
      <c r="K115">
        <v>2.89</v>
      </c>
    </row>
    <row r="116" spans="1:11" x14ac:dyDescent="0.3">
      <c r="A116">
        <v>2008</v>
      </c>
      <c r="B116" t="s">
        <v>14</v>
      </c>
      <c r="C116">
        <v>1059.5999999999999</v>
      </c>
      <c r="D116">
        <v>3143.8</v>
      </c>
      <c r="E116">
        <v>2.97</v>
      </c>
      <c r="F116">
        <v>465.3</v>
      </c>
      <c r="G116">
        <v>1443.6</v>
      </c>
      <c r="H116">
        <v>3.1</v>
      </c>
      <c r="I116">
        <v>1525</v>
      </c>
      <c r="J116">
        <v>4587.5</v>
      </c>
      <c r="K116">
        <v>3.01</v>
      </c>
    </row>
    <row r="117" spans="1:11" x14ac:dyDescent="0.3">
      <c r="A117">
        <v>2008</v>
      </c>
      <c r="B117" t="s">
        <v>15</v>
      </c>
      <c r="C117">
        <v>1087.7</v>
      </c>
      <c r="D117">
        <v>3465.6</v>
      </c>
      <c r="E117">
        <v>3.19</v>
      </c>
      <c r="F117">
        <v>481.7</v>
      </c>
      <c r="G117">
        <v>1602.9</v>
      </c>
      <c r="H117">
        <v>3.33</v>
      </c>
      <c r="I117">
        <v>1569.4</v>
      </c>
      <c r="J117">
        <v>5068.5</v>
      </c>
      <c r="K117">
        <v>3.23</v>
      </c>
    </row>
    <row r="118" spans="1:11" x14ac:dyDescent="0.3">
      <c r="A118">
        <v>2008</v>
      </c>
      <c r="B118" t="s">
        <v>16</v>
      </c>
      <c r="C118">
        <v>1094.8</v>
      </c>
      <c r="D118">
        <v>3717.1</v>
      </c>
      <c r="E118">
        <v>3.4</v>
      </c>
      <c r="F118">
        <v>486.4</v>
      </c>
      <c r="G118">
        <v>1752.1</v>
      </c>
      <c r="H118">
        <v>3.6</v>
      </c>
      <c r="I118">
        <v>1581.2</v>
      </c>
      <c r="J118">
        <v>5469.2</v>
      </c>
      <c r="K118">
        <v>3.46</v>
      </c>
    </row>
    <row r="119" spans="1:11" x14ac:dyDescent="0.3">
      <c r="A119">
        <v>2008</v>
      </c>
      <c r="B119" t="s">
        <v>17</v>
      </c>
      <c r="C119">
        <v>1133</v>
      </c>
      <c r="D119">
        <v>4184.2</v>
      </c>
      <c r="E119">
        <v>3.69</v>
      </c>
      <c r="F119">
        <v>510.8</v>
      </c>
      <c r="G119">
        <v>2093.8000000000002</v>
      </c>
      <c r="H119">
        <v>4.0999999999999996</v>
      </c>
      <c r="I119">
        <v>1643.8</v>
      </c>
      <c r="J119">
        <v>6278.1</v>
      </c>
      <c r="K119">
        <v>3.82</v>
      </c>
    </row>
    <row r="120" spans="1:11" x14ac:dyDescent="0.3">
      <c r="A120">
        <v>2008</v>
      </c>
      <c r="B120" t="s">
        <v>18</v>
      </c>
      <c r="C120">
        <v>1101.5</v>
      </c>
      <c r="D120">
        <v>3747</v>
      </c>
      <c r="E120">
        <v>3.4</v>
      </c>
      <c r="F120">
        <v>502.4</v>
      </c>
      <c r="G120">
        <v>1919.3</v>
      </c>
      <c r="H120">
        <v>3.82</v>
      </c>
      <c r="I120">
        <v>1603.9</v>
      </c>
      <c r="J120">
        <v>5666.3</v>
      </c>
      <c r="K120">
        <v>3.53</v>
      </c>
    </row>
    <row r="121" spans="1:11" x14ac:dyDescent="0.3">
      <c r="A121">
        <v>2008</v>
      </c>
      <c r="B121" t="s">
        <v>19</v>
      </c>
      <c r="C121">
        <v>925.3</v>
      </c>
      <c r="D121">
        <v>3083.8</v>
      </c>
      <c r="E121">
        <v>3.33</v>
      </c>
      <c r="F121">
        <v>448.8</v>
      </c>
      <c r="G121">
        <v>1603.3</v>
      </c>
      <c r="H121">
        <v>3.57</v>
      </c>
      <c r="I121">
        <v>1374.1</v>
      </c>
      <c r="J121">
        <v>4687.1000000000004</v>
      </c>
      <c r="K121">
        <v>3.41</v>
      </c>
    </row>
    <row r="122" spans="1:11" x14ac:dyDescent="0.3">
      <c r="A122">
        <v>2008</v>
      </c>
      <c r="B122" t="s">
        <v>20</v>
      </c>
      <c r="C122">
        <v>968.3</v>
      </c>
      <c r="D122">
        <v>3088.5</v>
      </c>
      <c r="E122">
        <v>3.19</v>
      </c>
      <c r="F122">
        <v>444</v>
      </c>
      <c r="G122">
        <v>1620.9</v>
      </c>
      <c r="H122">
        <v>3.65</v>
      </c>
      <c r="I122">
        <v>1412.3</v>
      </c>
      <c r="J122">
        <v>4709.3</v>
      </c>
      <c r="K122">
        <v>3.33</v>
      </c>
    </row>
    <row r="123" spans="1:11" x14ac:dyDescent="0.3">
      <c r="A123">
        <v>2008</v>
      </c>
      <c r="B123" t="s">
        <v>21</v>
      </c>
      <c r="C123">
        <v>909.1</v>
      </c>
      <c r="D123">
        <v>2276.1999999999998</v>
      </c>
      <c r="E123">
        <v>2.5</v>
      </c>
      <c r="F123">
        <v>411.1</v>
      </c>
      <c r="G123">
        <v>1088.5</v>
      </c>
      <c r="H123">
        <v>2.65</v>
      </c>
      <c r="I123">
        <v>1320.2</v>
      </c>
      <c r="J123">
        <v>3364.7</v>
      </c>
      <c r="K123">
        <v>2.5499999999999998</v>
      </c>
    </row>
    <row r="124" spans="1:11" x14ac:dyDescent="0.3">
      <c r="A124">
        <v>2008</v>
      </c>
      <c r="B124" t="s">
        <v>22</v>
      </c>
      <c r="C124">
        <v>975</v>
      </c>
      <c r="D124">
        <v>1930.6</v>
      </c>
      <c r="E124">
        <v>1.98</v>
      </c>
      <c r="F124">
        <v>427.2</v>
      </c>
      <c r="G124">
        <v>926.3</v>
      </c>
      <c r="H124">
        <v>2.17</v>
      </c>
      <c r="I124">
        <v>1402.2</v>
      </c>
      <c r="J124">
        <v>2856.9</v>
      </c>
      <c r="K124">
        <v>2.04</v>
      </c>
    </row>
    <row r="125" spans="1:11" x14ac:dyDescent="0.3">
      <c r="A125" t="s">
        <v>38</v>
      </c>
      <c r="C125">
        <v>12469.4</v>
      </c>
      <c r="D125">
        <v>37194.9</v>
      </c>
      <c r="E125">
        <v>2.98</v>
      </c>
      <c r="F125">
        <v>5508.9</v>
      </c>
      <c r="G125">
        <v>17773.5</v>
      </c>
      <c r="H125">
        <v>3.23</v>
      </c>
      <c r="I125">
        <v>17978.400000000001</v>
      </c>
      <c r="J125">
        <v>54968.4</v>
      </c>
      <c r="K125">
        <v>3.06</v>
      </c>
    </row>
    <row r="126" spans="1:11" x14ac:dyDescent="0.3">
      <c r="A126" t="s">
        <v>39</v>
      </c>
      <c r="C126">
        <v>-4.07E-2</v>
      </c>
      <c r="D126">
        <v>0.38269999999999998</v>
      </c>
      <c r="E126">
        <v>0.44140000000000001</v>
      </c>
      <c r="F126">
        <v>1.49E-2</v>
      </c>
      <c r="G126">
        <v>0.52110000000000001</v>
      </c>
      <c r="H126">
        <v>0.49869999999999998</v>
      </c>
      <c r="I126">
        <v>-2.4299999999999999E-2</v>
      </c>
      <c r="J126">
        <v>0.42459999999999998</v>
      </c>
      <c r="K126">
        <v>0.46010000000000001</v>
      </c>
    </row>
    <row r="127" spans="1:11" x14ac:dyDescent="0.3">
      <c r="A127">
        <v>2009</v>
      </c>
      <c r="B127" t="s">
        <v>11</v>
      </c>
      <c r="C127">
        <v>922.1</v>
      </c>
      <c r="D127">
        <v>1620.4</v>
      </c>
      <c r="E127">
        <v>1.76</v>
      </c>
      <c r="F127">
        <v>416.7</v>
      </c>
      <c r="G127">
        <v>713.6</v>
      </c>
      <c r="H127">
        <v>1.71</v>
      </c>
      <c r="I127">
        <v>1338.9</v>
      </c>
      <c r="J127">
        <v>2334</v>
      </c>
      <c r="K127">
        <v>1.74</v>
      </c>
    </row>
    <row r="128" spans="1:11" x14ac:dyDescent="0.3">
      <c r="A128">
        <v>2009</v>
      </c>
      <c r="B128" t="s">
        <v>12</v>
      </c>
      <c r="C128">
        <v>849.6</v>
      </c>
      <c r="D128">
        <v>1567.3</v>
      </c>
      <c r="E128">
        <v>1.84</v>
      </c>
      <c r="F128">
        <v>369.6</v>
      </c>
      <c r="G128">
        <v>677</v>
      </c>
      <c r="H128">
        <v>1.83</v>
      </c>
      <c r="I128">
        <v>1219.2</v>
      </c>
      <c r="J128">
        <v>2244.3000000000002</v>
      </c>
      <c r="K128">
        <v>1.84</v>
      </c>
    </row>
    <row r="129" spans="1:11" x14ac:dyDescent="0.3">
      <c r="A129">
        <v>2009</v>
      </c>
      <c r="B129" t="s">
        <v>13</v>
      </c>
      <c r="C129">
        <v>966.3</v>
      </c>
      <c r="D129">
        <v>1587</v>
      </c>
      <c r="E129">
        <v>1.64</v>
      </c>
      <c r="F129">
        <v>416.5</v>
      </c>
      <c r="G129">
        <v>686.5</v>
      </c>
      <c r="H129">
        <v>1.65</v>
      </c>
      <c r="I129">
        <v>1382.8</v>
      </c>
      <c r="J129">
        <v>2273.5</v>
      </c>
      <c r="K129">
        <v>1.64</v>
      </c>
    </row>
    <row r="130" spans="1:11" x14ac:dyDescent="0.3">
      <c r="A130">
        <v>2009</v>
      </c>
      <c r="B130" t="s">
        <v>14</v>
      </c>
      <c r="C130">
        <v>935.7</v>
      </c>
      <c r="D130">
        <v>1629.3</v>
      </c>
      <c r="E130">
        <v>1.74</v>
      </c>
      <c r="F130">
        <v>417.3</v>
      </c>
      <c r="G130">
        <v>727.4</v>
      </c>
      <c r="H130">
        <v>1.74</v>
      </c>
      <c r="I130">
        <v>1353</v>
      </c>
      <c r="J130">
        <v>2356.6999999999998</v>
      </c>
      <c r="K130">
        <v>1.74</v>
      </c>
    </row>
    <row r="131" spans="1:11" x14ac:dyDescent="0.3">
      <c r="A131">
        <v>2009</v>
      </c>
      <c r="B131" t="s">
        <v>15</v>
      </c>
      <c r="C131">
        <v>949.3</v>
      </c>
      <c r="D131">
        <v>1648.6</v>
      </c>
      <c r="E131">
        <v>1.74</v>
      </c>
      <c r="F131">
        <v>428.2</v>
      </c>
      <c r="G131">
        <v>734</v>
      </c>
      <c r="H131">
        <v>1.71</v>
      </c>
      <c r="I131">
        <v>1377.4</v>
      </c>
      <c r="J131">
        <v>2382.6</v>
      </c>
      <c r="K131">
        <v>1.73</v>
      </c>
    </row>
    <row r="132" spans="1:11" x14ac:dyDescent="0.3">
      <c r="A132">
        <v>2009</v>
      </c>
      <c r="B132" t="s">
        <v>16</v>
      </c>
      <c r="C132">
        <v>973.1</v>
      </c>
      <c r="D132">
        <v>1853.4</v>
      </c>
      <c r="E132">
        <v>1.9</v>
      </c>
      <c r="F132">
        <v>470</v>
      </c>
      <c r="G132">
        <v>855.6</v>
      </c>
      <c r="H132">
        <v>1.82</v>
      </c>
      <c r="I132">
        <v>1443.1</v>
      </c>
      <c r="J132">
        <v>2709</v>
      </c>
      <c r="K132">
        <v>1.88</v>
      </c>
    </row>
    <row r="133" spans="1:11" x14ac:dyDescent="0.3">
      <c r="A133">
        <v>2009</v>
      </c>
      <c r="B133" t="s">
        <v>17</v>
      </c>
      <c r="C133">
        <v>1026.3</v>
      </c>
      <c r="D133">
        <v>1961.2</v>
      </c>
      <c r="E133">
        <v>1.91</v>
      </c>
      <c r="F133">
        <v>494.7</v>
      </c>
      <c r="G133">
        <v>930.9</v>
      </c>
      <c r="H133">
        <v>1.88</v>
      </c>
      <c r="I133">
        <v>1521</v>
      </c>
      <c r="J133">
        <v>2892.1</v>
      </c>
      <c r="K133">
        <v>1.9</v>
      </c>
    </row>
    <row r="134" spans="1:11" x14ac:dyDescent="0.3">
      <c r="A134">
        <v>2009</v>
      </c>
      <c r="B134" t="s">
        <v>18</v>
      </c>
      <c r="C134">
        <v>969.5</v>
      </c>
      <c r="D134">
        <v>1965.4</v>
      </c>
      <c r="E134">
        <v>2.0299999999999998</v>
      </c>
      <c r="F134">
        <v>458.6</v>
      </c>
      <c r="G134">
        <v>914.9</v>
      </c>
      <c r="H134">
        <v>1.99</v>
      </c>
      <c r="I134">
        <v>1428.1</v>
      </c>
      <c r="J134">
        <v>2880.3</v>
      </c>
      <c r="K134">
        <v>2.02</v>
      </c>
    </row>
    <row r="135" spans="1:11" x14ac:dyDescent="0.3">
      <c r="A135">
        <v>2009</v>
      </c>
      <c r="B135" t="s">
        <v>19</v>
      </c>
      <c r="C135">
        <v>870.8</v>
      </c>
      <c r="D135">
        <v>1735.9</v>
      </c>
      <c r="E135">
        <v>1.99</v>
      </c>
      <c r="F135">
        <v>410.3</v>
      </c>
      <c r="G135">
        <v>828.1</v>
      </c>
      <c r="H135">
        <v>2.02</v>
      </c>
      <c r="I135">
        <v>1281.0999999999999</v>
      </c>
      <c r="J135">
        <v>2564</v>
      </c>
      <c r="K135">
        <v>2</v>
      </c>
    </row>
    <row r="136" spans="1:11" x14ac:dyDescent="0.3">
      <c r="A136">
        <v>2009</v>
      </c>
      <c r="B136" t="s">
        <v>20</v>
      </c>
      <c r="C136">
        <v>913.4</v>
      </c>
      <c r="D136">
        <v>1821.3</v>
      </c>
      <c r="E136">
        <v>1.99</v>
      </c>
      <c r="F136">
        <v>411.4</v>
      </c>
      <c r="G136">
        <v>798</v>
      </c>
      <c r="H136">
        <v>1.94</v>
      </c>
      <c r="I136">
        <v>1324.8</v>
      </c>
      <c r="J136">
        <v>2619.3000000000002</v>
      </c>
      <c r="K136">
        <v>1.98</v>
      </c>
    </row>
    <row r="137" spans="1:11" x14ac:dyDescent="0.3">
      <c r="A137">
        <v>2009</v>
      </c>
      <c r="B137" t="s">
        <v>21</v>
      </c>
      <c r="C137">
        <v>845</v>
      </c>
      <c r="D137">
        <v>1812.7</v>
      </c>
      <c r="E137">
        <v>2.15</v>
      </c>
      <c r="F137">
        <v>384.9</v>
      </c>
      <c r="G137">
        <v>796.1</v>
      </c>
      <c r="H137">
        <v>2.0699999999999998</v>
      </c>
      <c r="I137">
        <v>1229.9000000000001</v>
      </c>
      <c r="J137">
        <v>2608.8000000000002</v>
      </c>
      <c r="K137">
        <v>2.12</v>
      </c>
    </row>
    <row r="138" spans="1:11" x14ac:dyDescent="0.3">
      <c r="A138">
        <v>2009</v>
      </c>
      <c r="B138" t="s">
        <v>22</v>
      </c>
      <c r="C138">
        <v>926.5</v>
      </c>
      <c r="D138">
        <v>1965.9</v>
      </c>
      <c r="E138">
        <v>2.12</v>
      </c>
      <c r="F138">
        <v>408.3</v>
      </c>
      <c r="G138">
        <v>852.4</v>
      </c>
      <c r="H138">
        <v>2.09</v>
      </c>
      <c r="I138">
        <v>1334.8</v>
      </c>
      <c r="J138">
        <v>2818.4</v>
      </c>
      <c r="K138">
        <v>2.11</v>
      </c>
    </row>
    <row r="139" spans="1:11" x14ac:dyDescent="0.3">
      <c r="A139" t="s">
        <v>40</v>
      </c>
      <c r="C139">
        <v>11147.4</v>
      </c>
      <c r="D139">
        <v>21168.5</v>
      </c>
      <c r="E139">
        <v>1.9</v>
      </c>
      <c r="F139">
        <v>5086.6000000000004</v>
      </c>
      <c r="G139">
        <v>9514.4</v>
      </c>
      <c r="H139">
        <v>1.87</v>
      </c>
      <c r="I139">
        <v>16234</v>
      </c>
      <c r="J139">
        <v>30682.9</v>
      </c>
      <c r="K139">
        <v>1.89</v>
      </c>
    </row>
    <row r="140" spans="1:11" x14ac:dyDescent="0.3">
      <c r="A140" t="s">
        <v>41</v>
      </c>
      <c r="C140">
        <v>-0.106</v>
      </c>
      <c r="D140">
        <v>-0.43090000000000001</v>
      </c>
      <c r="E140">
        <v>-0.3634</v>
      </c>
      <c r="F140">
        <v>-7.6700000000000004E-2</v>
      </c>
      <c r="G140">
        <v>-0.4647</v>
      </c>
      <c r="H140">
        <v>-0.42020000000000002</v>
      </c>
      <c r="I140">
        <v>-9.7000000000000003E-2</v>
      </c>
      <c r="J140">
        <v>-0.44180000000000003</v>
      </c>
      <c r="K140">
        <v>-0.38179999999999997</v>
      </c>
    </row>
    <row r="141" spans="1:11" x14ac:dyDescent="0.3">
      <c r="A141">
        <v>2010</v>
      </c>
      <c r="B141" t="s">
        <v>11</v>
      </c>
      <c r="C141">
        <v>872.7</v>
      </c>
      <c r="D141">
        <v>1931.6</v>
      </c>
      <c r="E141">
        <v>2.21</v>
      </c>
      <c r="F141">
        <v>410</v>
      </c>
      <c r="G141">
        <v>873.9</v>
      </c>
      <c r="H141">
        <v>2.13</v>
      </c>
      <c r="I141">
        <v>1282.7</v>
      </c>
      <c r="J141">
        <v>2805.5</v>
      </c>
      <c r="K141">
        <v>2.19</v>
      </c>
    </row>
    <row r="142" spans="1:11" x14ac:dyDescent="0.3">
      <c r="A142">
        <v>2010</v>
      </c>
      <c r="B142" t="s">
        <v>12</v>
      </c>
      <c r="C142">
        <v>786.9</v>
      </c>
      <c r="D142">
        <v>1696.7</v>
      </c>
      <c r="E142">
        <v>2.16</v>
      </c>
      <c r="F142">
        <v>361.5</v>
      </c>
      <c r="G142">
        <v>771</v>
      </c>
      <c r="H142">
        <v>2.13</v>
      </c>
      <c r="I142">
        <v>1148.4000000000001</v>
      </c>
      <c r="J142">
        <v>2467.6999999999998</v>
      </c>
      <c r="K142">
        <v>2.15</v>
      </c>
    </row>
    <row r="143" spans="1:11" x14ac:dyDescent="0.3">
      <c r="A143">
        <v>2010</v>
      </c>
      <c r="B143" t="s">
        <v>13</v>
      </c>
      <c r="C143">
        <v>928.2</v>
      </c>
      <c r="D143">
        <v>2046</v>
      </c>
      <c r="E143">
        <v>2.2000000000000002</v>
      </c>
      <c r="F143">
        <v>423.7</v>
      </c>
      <c r="G143">
        <v>911.9</v>
      </c>
      <c r="H143">
        <v>2.15</v>
      </c>
      <c r="I143">
        <v>1351.9</v>
      </c>
      <c r="J143">
        <v>2957.9</v>
      </c>
      <c r="K143">
        <v>2.19</v>
      </c>
    </row>
    <row r="144" spans="1:11" x14ac:dyDescent="0.3">
      <c r="A144">
        <v>2010</v>
      </c>
      <c r="B144" t="s">
        <v>14</v>
      </c>
      <c r="C144">
        <v>900.9</v>
      </c>
      <c r="D144">
        <v>2075.1999999999998</v>
      </c>
      <c r="E144">
        <v>2.2999999999999998</v>
      </c>
      <c r="F144">
        <v>410.5</v>
      </c>
      <c r="G144">
        <v>928.4</v>
      </c>
      <c r="H144">
        <v>2.2599999999999998</v>
      </c>
      <c r="I144">
        <v>1311.3</v>
      </c>
      <c r="J144">
        <v>3003.6</v>
      </c>
      <c r="K144">
        <v>2.29</v>
      </c>
    </row>
    <row r="145" spans="1:11" x14ac:dyDescent="0.3">
      <c r="A145">
        <v>2010</v>
      </c>
      <c r="B145" t="s">
        <v>15</v>
      </c>
      <c r="C145">
        <v>940</v>
      </c>
      <c r="D145">
        <v>2189.6999999999998</v>
      </c>
      <c r="E145">
        <v>2.33</v>
      </c>
      <c r="F145">
        <v>453.7</v>
      </c>
      <c r="G145">
        <v>1040.0999999999999</v>
      </c>
      <c r="H145">
        <v>2.29</v>
      </c>
      <c r="I145">
        <v>1393.6</v>
      </c>
      <c r="J145">
        <v>3229.8</v>
      </c>
      <c r="K145">
        <v>2.3199999999999998</v>
      </c>
    </row>
    <row r="146" spans="1:11" x14ac:dyDescent="0.3">
      <c r="A146">
        <v>2010</v>
      </c>
      <c r="B146" t="s">
        <v>16</v>
      </c>
      <c r="C146">
        <v>959.8</v>
      </c>
      <c r="D146">
        <v>2090.8000000000002</v>
      </c>
      <c r="E146">
        <v>2.1800000000000002</v>
      </c>
      <c r="F146">
        <v>468</v>
      </c>
      <c r="G146">
        <v>1059.7</v>
      </c>
      <c r="H146">
        <v>2.2599999999999998</v>
      </c>
      <c r="I146">
        <v>1427.7</v>
      </c>
      <c r="J146">
        <v>3150.5</v>
      </c>
      <c r="K146">
        <v>2.21</v>
      </c>
    </row>
    <row r="147" spans="1:11" x14ac:dyDescent="0.3">
      <c r="A147">
        <v>2010</v>
      </c>
      <c r="B147" t="s">
        <v>17</v>
      </c>
      <c r="C147">
        <v>1010.8</v>
      </c>
      <c r="D147">
        <v>2235.3000000000002</v>
      </c>
      <c r="E147">
        <v>2.21</v>
      </c>
      <c r="F147">
        <v>495.9</v>
      </c>
      <c r="G147">
        <v>1091.3</v>
      </c>
      <c r="H147">
        <v>2.2000000000000002</v>
      </c>
      <c r="I147">
        <v>1506.7</v>
      </c>
      <c r="J147">
        <v>3326.6</v>
      </c>
      <c r="K147">
        <v>2.21</v>
      </c>
    </row>
    <row r="148" spans="1:11" x14ac:dyDescent="0.3">
      <c r="A148">
        <v>2010</v>
      </c>
      <c r="B148" t="s">
        <v>18</v>
      </c>
      <c r="C148">
        <v>994.4</v>
      </c>
      <c r="D148">
        <v>2214.6</v>
      </c>
      <c r="E148">
        <v>2.23</v>
      </c>
      <c r="F148">
        <v>484.2</v>
      </c>
      <c r="G148">
        <v>1069</v>
      </c>
      <c r="H148">
        <v>2.21</v>
      </c>
      <c r="I148">
        <v>1478.6</v>
      </c>
      <c r="J148">
        <v>3283.6</v>
      </c>
      <c r="K148">
        <v>2.2200000000000002</v>
      </c>
    </row>
    <row r="149" spans="1:11" x14ac:dyDescent="0.3">
      <c r="A149">
        <v>2010</v>
      </c>
      <c r="B149" t="s">
        <v>19</v>
      </c>
      <c r="C149">
        <v>914.9</v>
      </c>
      <c r="D149">
        <v>1996.9</v>
      </c>
      <c r="E149">
        <v>2.1800000000000002</v>
      </c>
      <c r="F149">
        <v>439.8</v>
      </c>
      <c r="G149">
        <v>967.7</v>
      </c>
      <c r="H149">
        <v>2.2000000000000002</v>
      </c>
      <c r="I149">
        <v>1354.7</v>
      </c>
      <c r="J149">
        <v>2964.6</v>
      </c>
      <c r="K149">
        <v>2.19</v>
      </c>
    </row>
    <row r="150" spans="1:11" x14ac:dyDescent="0.3">
      <c r="A150">
        <v>2010</v>
      </c>
      <c r="B150" t="s">
        <v>20</v>
      </c>
      <c r="C150">
        <v>925</v>
      </c>
      <c r="D150">
        <v>2177.1</v>
      </c>
      <c r="E150">
        <v>2.35</v>
      </c>
      <c r="F150">
        <v>446.3</v>
      </c>
      <c r="G150">
        <v>1042.7</v>
      </c>
      <c r="H150">
        <v>2.34</v>
      </c>
      <c r="I150">
        <v>1371.3</v>
      </c>
      <c r="J150">
        <v>3219.8</v>
      </c>
      <c r="K150">
        <v>2.35</v>
      </c>
    </row>
    <row r="151" spans="1:11" x14ac:dyDescent="0.3">
      <c r="A151">
        <v>2010</v>
      </c>
      <c r="B151" t="s">
        <v>21</v>
      </c>
      <c r="C151">
        <v>891.7</v>
      </c>
      <c r="D151">
        <v>2146.1999999999998</v>
      </c>
      <c r="E151">
        <v>2.41</v>
      </c>
      <c r="F151">
        <v>411.9</v>
      </c>
      <c r="G151">
        <v>981.6</v>
      </c>
      <c r="H151">
        <v>2.38</v>
      </c>
      <c r="I151">
        <v>1303.5999999999999</v>
      </c>
      <c r="J151">
        <v>3127.8</v>
      </c>
      <c r="K151">
        <v>2.4</v>
      </c>
    </row>
    <row r="152" spans="1:11" x14ac:dyDescent="0.3">
      <c r="A152">
        <v>2010</v>
      </c>
      <c r="B152" t="s">
        <v>22</v>
      </c>
      <c r="C152">
        <v>931.5</v>
      </c>
      <c r="D152">
        <v>2303.5</v>
      </c>
      <c r="E152">
        <v>2.4700000000000002</v>
      </c>
      <c r="F152">
        <v>441.1</v>
      </c>
      <c r="G152">
        <v>1090.7</v>
      </c>
      <c r="H152">
        <v>2.4700000000000002</v>
      </c>
      <c r="I152">
        <v>1372.6</v>
      </c>
      <c r="J152">
        <v>3394.2</v>
      </c>
      <c r="K152">
        <v>2.4700000000000002</v>
      </c>
    </row>
    <row r="153" spans="1:11" x14ac:dyDescent="0.3">
      <c r="A153" t="s">
        <v>42</v>
      </c>
      <c r="C153">
        <v>11056.7</v>
      </c>
      <c r="D153">
        <v>25103.4</v>
      </c>
      <c r="E153">
        <v>2.27</v>
      </c>
      <c r="F153">
        <v>5246.5</v>
      </c>
      <c r="G153">
        <v>11828.1</v>
      </c>
      <c r="H153">
        <v>2.25</v>
      </c>
      <c r="I153">
        <v>16303.2</v>
      </c>
      <c r="J153">
        <v>36931.599999999999</v>
      </c>
      <c r="K153">
        <v>2.27</v>
      </c>
    </row>
    <row r="154" spans="1:11" x14ac:dyDescent="0.3">
      <c r="A154" t="s">
        <v>43</v>
      </c>
      <c r="C154">
        <v>-8.0999999999999996E-3</v>
      </c>
      <c r="D154">
        <v>0.18590000000000001</v>
      </c>
      <c r="E154">
        <v>0.1956</v>
      </c>
      <c r="F154">
        <v>3.1399999999999997E-2</v>
      </c>
      <c r="G154">
        <v>0.2432</v>
      </c>
      <c r="H154">
        <v>0.20530000000000001</v>
      </c>
      <c r="I154">
        <v>4.3E-3</v>
      </c>
      <c r="J154">
        <v>0.20369999999999999</v>
      </c>
      <c r="K154">
        <v>0.19850000000000001</v>
      </c>
    </row>
    <row r="155" spans="1:11" x14ac:dyDescent="0.3">
      <c r="A155">
        <v>2011</v>
      </c>
      <c r="B155" t="s">
        <v>11</v>
      </c>
      <c r="C155">
        <v>861.6</v>
      </c>
      <c r="D155">
        <v>2272.1999999999998</v>
      </c>
      <c r="E155">
        <v>2.64</v>
      </c>
      <c r="F155">
        <v>448.2</v>
      </c>
      <c r="G155">
        <v>1169.8</v>
      </c>
      <c r="H155">
        <v>2.61</v>
      </c>
      <c r="I155">
        <v>1309.8</v>
      </c>
      <c r="J155">
        <v>3442</v>
      </c>
      <c r="K155">
        <v>2.63</v>
      </c>
    </row>
    <row r="156" spans="1:11" x14ac:dyDescent="0.3">
      <c r="A156">
        <v>2011</v>
      </c>
      <c r="B156" t="s">
        <v>12</v>
      </c>
      <c r="C156">
        <v>794.2</v>
      </c>
      <c r="D156">
        <v>2206.1</v>
      </c>
      <c r="E156">
        <v>2.78</v>
      </c>
      <c r="F156">
        <v>395.1</v>
      </c>
      <c r="G156">
        <v>1098.9000000000001</v>
      </c>
      <c r="H156">
        <v>2.78</v>
      </c>
      <c r="I156">
        <v>1189.3</v>
      </c>
      <c r="J156">
        <v>3305</v>
      </c>
      <c r="K156">
        <v>2.78</v>
      </c>
    </row>
    <row r="157" spans="1:11" x14ac:dyDescent="0.3">
      <c r="A157">
        <v>2011</v>
      </c>
      <c r="B157" t="s">
        <v>13</v>
      </c>
      <c r="C157">
        <v>944</v>
      </c>
      <c r="D157">
        <v>2858.6</v>
      </c>
      <c r="E157">
        <v>3.03</v>
      </c>
      <c r="F157">
        <v>466.6</v>
      </c>
      <c r="G157">
        <v>1396</v>
      </c>
      <c r="H157">
        <v>2.99</v>
      </c>
      <c r="I157">
        <v>1410.5</v>
      </c>
      <c r="J157">
        <v>4254.5</v>
      </c>
      <c r="K157">
        <v>3.02</v>
      </c>
    </row>
    <row r="158" spans="1:11" x14ac:dyDescent="0.3">
      <c r="A158">
        <v>2011</v>
      </c>
      <c r="B158" t="s">
        <v>14</v>
      </c>
      <c r="C158">
        <v>909.7</v>
      </c>
      <c r="D158">
        <v>2919.7</v>
      </c>
      <c r="E158">
        <v>3.21</v>
      </c>
      <c r="F158">
        <v>460.6</v>
      </c>
      <c r="G158">
        <v>1485.8</v>
      </c>
      <c r="H158">
        <v>3.23</v>
      </c>
      <c r="I158">
        <v>1370.4</v>
      </c>
      <c r="J158">
        <v>4405.5</v>
      </c>
      <c r="K158">
        <v>3.21</v>
      </c>
    </row>
    <row r="159" spans="1:11" x14ac:dyDescent="0.3">
      <c r="A159">
        <v>2011</v>
      </c>
      <c r="B159" t="s">
        <v>15</v>
      </c>
      <c r="C159">
        <v>921.9</v>
      </c>
      <c r="D159">
        <v>2993.1</v>
      </c>
      <c r="E159">
        <v>3.25</v>
      </c>
      <c r="F159">
        <v>476.1</v>
      </c>
      <c r="G159">
        <v>1548.3</v>
      </c>
      <c r="H159">
        <v>3.25</v>
      </c>
      <c r="I159">
        <v>1398</v>
      </c>
      <c r="J159">
        <v>4541.3999999999996</v>
      </c>
      <c r="K159">
        <v>3.25</v>
      </c>
    </row>
    <row r="160" spans="1:11" x14ac:dyDescent="0.3">
      <c r="A160">
        <v>2011</v>
      </c>
      <c r="B160" t="s">
        <v>16</v>
      </c>
      <c r="C160">
        <v>953.7</v>
      </c>
      <c r="D160">
        <v>2984.1</v>
      </c>
      <c r="E160">
        <v>3.13</v>
      </c>
      <c r="F160">
        <v>494.9</v>
      </c>
      <c r="G160">
        <v>1524.7</v>
      </c>
      <c r="H160">
        <v>3.08</v>
      </c>
      <c r="I160">
        <v>1448.6</v>
      </c>
      <c r="J160">
        <v>4508.8</v>
      </c>
      <c r="K160">
        <v>3.11</v>
      </c>
    </row>
    <row r="161" spans="1:11" x14ac:dyDescent="0.3">
      <c r="A161">
        <v>2011</v>
      </c>
      <c r="B161" t="s">
        <v>17</v>
      </c>
      <c r="C161">
        <v>978.8</v>
      </c>
      <c r="D161">
        <v>3042.7</v>
      </c>
      <c r="E161">
        <v>3.11</v>
      </c>
      <c r="F161">
        <v>528.29999999999995</v>
      </c>
      <c r="G161">
        <v>1642.5</v>
      </c>
      <c r="H161">
        <v>3.11</v>
      </c>
      <c r="I161">
        <v>1507.2</v>
      </c>
      <c r="J161">
        <v>4685.2</v>
      </c>
      <c r="K161">
        <v>3.11</v>
      </c>
    </row>
    <row r="162" spans="1:11" x14ac:dyDescent="0.3">
      <c r="A162">
        <v>2011</v>
      </c>
      <c r="B162" t="s">
        <v>18</v>
      </c>
      <c r="C162">
        <v>952.9</v>
      </c>
      <c r="D162">
        <v>2978.3</v>
      </c>
      <c r="E162">
        <v>3.13</v>
      </c>
      <c r="F162">
        <v>508.1</v>
      </c>
      <c r="G162">
        <v>1574.4</v>
      </c>
      <c r="H162">
        <v>3.1</v>
      </c>
      <c r="I162">
        <v>1461</v>
      </c>
      <c r="J162">
        <v>4552.7</v>
      </c>
      <c r="K162">
        <v>3.12</v>
      </c>
    </row>
    <row r="163" spans="1:11" x14ac:dyDescent="0.3">
      <c r="A163">
        <v>2011</v>
      </c>
      <c r="B163" t="s">
        <v>19</v>
      </c>
      <c r="C163">
        <v>866.7</v>
      </c>
      <c r="D163">
        <v>2752.4</v>
      </c>
      <c r="E163">
        <v>3.18</v>
      </c>
      <c r="F163">
        <v>453.1</v>
      </c>
      <c r="G163">
        <v>1394.3</v>
      </c>
      <c r="H163">
        <v>3.08</v>
      </c>
      <c r="I163">
        <v>1319.8</v>
      </c>
      <c r="J163">
        <v>4146.7</v>
      </c>
      <c r="K163">
        <v>3.14</v>
      </c>
    </row>
    <row r="164" spans="1:11" x14ac:dyDescent="0.3">
      <c r="A164">
        <v>2011</v>
      </c>
      <c r="B164" t="s">
        <v>20</v>
      </c>
      <c r="C164">
        <v>895</v>
      </c>
      <c r="D164">
        <v>2684.7</v>
      </c>
      <c r="E164">
        <v>3</v>
      </c>
      <c r="F164">
        <v>443.7</v>
      </c>
      <c r="G164">
        <v>1330.2</v>
      </c>
      <c r="H164">
        <v>3</v>
      </c>
      <c r="I164">
        <v>1338.8</v>
      </c>
      <c r="J164">
        <v>4014.9</v>
      </c>
      <c r="K164">
        <v>3</v>
      </c>
    </row>
    <row r="165" spans="1:11" x14ac:dyDescent="0.3">
      <c r="A165">
        <v>2011</v>
      </c>
      <c r="B165" t="s">
        <v>21</v>
      </c>
      <c r="C165">
        <v>859.9</v>
      </c>
      <c r="D165">
        <v>2664.2</v>
      </c>
      <c r="E165">
        <v>3.1</v>
      </c>
      <c r="F165">
        <v>409.7</v>
      </c>
      <c r="G165">
        <v>1233.0999999999999</v>
      </c>
      <c r="H165">
        <v>3.01</v>
      </c>
      <c r="I165">
        <v>1269.7</v>
      </c>
      <c r="J165">
        <v>3897.4</v>
      </c>
      <c r="K165">
        <v>3.07</v>
      </c>
    </row>
    <row r="166" spans="1:11" x14ac:dyDescent="0.3">
      <c r="A166">
        <v>2011</v>
      </c>
      <c r="B166" t="s">
        <v>22</v>
      </c>
      <c r="C166">
        <v>889.7</v>
      </c>
      <c r="D166">
        <v>2742.9</v>
      </c>
      <c r="E166">
        <v>3.08</v>
      </c>
      <c r="F166">
        <v>436.5</v>
      </c>
      <c r="G166">
        <v>1318.8</v>
      </c>
      <c r="H166">
        <v>3.02</v>
      </c>
      <c r="I166">
        <v>1326.2</v>
      </c>
      <c r="J166">
        <v>4061.7</v>
      </c>
      <c r="K166">
        <v>3.06</v>
      </c>
    </row>
    <row r="167" spans="1:11" x14ac:dyDescent="0.3">
      <c r="A167" t="s">
        <v>44</v>
      </c>
      <c r="C167">
        <v>10828.3</v>
      </c>
      <c r="D167">
        <v>33099</v>
      </c>
      <c r="E167">
        <v>3.06</v>
      </c>
      <c r="F167">
        <v>5521</v>
      </c>
      <c r="G167">
        <v>16716.900000000001</v>
      </c>
      <c r="H167">
        <v>3.03</v>
      </c>
      <c r="I167">
        <v>16349.3</v>
      </c>
      <c r="J167">
        <v>49815.9</v>
      </c>
      <c r="K167">
        <v>3.05</v>
      </c>
    </row>
    <row r="168" spans="1:11" x14ac:dyDescent="0.3">
      <c r="A168" t="s">
        <v>45</v>
      </c>
      <c r="C168">
        <v>-2.07E-2</v>
      </c>
      <c r="D168">
        <v>0.31850000000000001</v>
      </c>
      <c r="E168">
        <v>0.3463</v>
      </c>
      <c r="F168">
        <v>5.2299999999999999E-2</v>
      </c>
      <c r="G168">
        <v>0.4133</v>
      </c>
      <c r="H168">
        <v>0.34310000000000002</v>
      </c>
      <c r="I168">
        <v>2.8E-3</v>
      </c>
      <c r="J168">
        <v>0.34889999999999999</v>
      </c>
      <c r="K168">
        <v>0.34510000000000002</v>
      </c>
    </row>
    <row r="169" spans="1:11" x14ac:dyDescent="0.3">
      <c r="A169">
        <v>2012</v>
      </c>
      <c r="B169" t="s">
        <v>11</v>
      </c>
      <c r="C169">
        <v>808.5</v>
      </c>
      <c r="D169">
        <v>2538.5</v>
      </c>
      <c r="E169">
        <v>3.14</v>
      </c>
      <c r="F169">
        <v>444.2</v>
      </c>
      <c r="G169">
        <v>1371.9</v>
      </c>
      <c r="H169">
        <v>3.09</v>
      </c>
      <c r="I169">
        <v>1252.7</v>
      </c>
      <c r="J169">
        <v>3910.4</v>
      </c>
      <c r="K169">
        <v>3.12</v>
      </c>
    </row>
    <row r="170" spans="1:11" x14ac:dyDescent="0.3">
      <c r="A170">
        <v>2012</v>
      </c>
      <c r="B170" t="s">
        <v>12</v>
      </c>
      <c r="C170">
        <v>788.3</v>
      </c>
      <c r="D170">
        <v>2559.6</v>
      </c>
      <c r="E170">
        <v>3.25</v>
      </c>
      <c r="F170">
        <v>419.6</v>
      </c>
      <c r="G170">
        <v>1323</v>
      </c>
      <c r="H170">
        <v>3.15</v>
      </c>
      <c r="I170">
        <v>1207.9000000000001</v>
      </c>
      <c r="J170">
        <v>3882.6</v>
      </c>
      <c r="K170">
        <v>3.21</v>
      </c>
    </row>
    <row r="171" spans="1:11" x14ac:dyDescent="0.3">
      <c r="A171">
        <v>2012</v>
      </c>
      <c r="B171" t="s">
        <v>13</v>
      </c>
      <c r="C171">
        <v>891.3</v>
      </c>
      <c r="D171">
        <v>2966.7</v>
      </c>
      <c r="E171">
        <v>3.33</v>
      </c>
      <c r="F171">
        <v>473.6</v>
      </c>
      <c r="G171">
        <v>1563</v>
      </c>
      <c r="H171">
        <v>3.3</v>
      </c>
      <c r="I171">
        <v>1364.9</v>
      </c>
      <c r="J171">
        <v>4529.7</v>
      </c>
      <c r="K171">
        <v>3.32</v>
      </c>
    </row>
    <row r="172" spans="1:11" x14ac:dyDescent="0.3">
      <c r="A172">
        <v>2012</v>
      </c>
      <c r="B172" t="s">
        <v>14</v>
      </c>
      <c r="C172">
        <v>844.9</v>
      </c>
      <c r="D172">
        <v>2825.1</v>
      </c>
      <c r="E172">
        <v>3.34</v>
      </c>
      <c r="F172">
        <v>456.5</v>
      </c>
      <c r="G172">
        <v>1522.3</v>
      </c>
      <c r="H172">
        <v>3.33</v>
      </c>
      <c r="I172">
        <v>1301.5</v>
      </c>
      <c r="J172">
        <v>4347.3999999999996</v>
      </c>
      <c r="K172">
        <v>3.34</v>
      </c>
    </row>
    <row r="173" spans="1:11" x14ac:dyDescent="0.3">
      <c r="A173">
        <v>2012</v>
      </c>
      <c r="B173" t="s">
        <v>15</v>
      </c>
      <c r="C173">
        <v>885</v>
      </c>
      <c r="D173">
        <v>2867.4</v>
      </c>
      <c r="E173">
        <v>3.24</v>
      </c>
      <c r="F173">
        <v>487.3</v>
      </c>
      <c r="G173">
        <v>1577</v>
      </c>
      <c r="H173">
        <v>3.24</v>
      </c>
      <c r="I173">
        <v>1372.3</v>
      </c>
      <c r="J173">
        <v>4444.3999999999996</v>
      </c>
      <c r="K173">
        <v>3.24</v>
      </c>
    </row>
    <row r="174" spans="1:11" x14ac:dyDescent="0.3">
      <c r="A174">
        <v>2012</v>
      </c>
      <c r="B174" t="s">
        <v>16</v>
      </c>
      <c r="C174">
        <v>905.7</v>
      </c>
      <c r="D174">
        <v>2708.8</v>
      </c>
      <c r="E174">
        <v>2.99</v>
      </c>
      <c r="F174">
        <v>498.2</v>
      </c>
      <c r="G174">
        <v>1525</v>
      </c>
      <c r="H174">
        <v>3.06</v>
      </c>
      <c r="I174">
        <v>1403.9</v>
      </c>
      <c r="J174">
        <v>4233.8</v>
      </c>
      <c r="K174">
        <v>3.02</v>
      </c>
    </row>
    <row r="175" spans="1:11" x14ac:dyDescent="0.3">
      <c r="A175">
        <v>2012</v>
      </c>
      <c r="B175" t="s">
        <v>17</v>
      </c>
      <c r="C175">
        <v>918.7</v>
      </c>
      <c r="D175">
        <v>2716.2</v>
      </c>
      <c r="E175">
        <v>2.96</v>
      </c>
      <c r="F175">
        <v>523.5</v>
      </c>
      <c r="G175">
        <v>1531</v>
      </c>
      <c r="H175">
        <v>2.92</v>
      </c>
      <c r="I175">
        <v>1442.2</v>
      </c>
      <c r="J175">
        <v>4247.2</v>
      </c>
      <c r="K175">
        <v>2.95</v>
      </c>
    </row>
    <row r="176" spans="1:11" x14ac:dyDescent="0.3">
      <c r="A176">
        <v>2012</v>
      </c>
      <c r="B176" t="s">
        <v>18</v>
      </c>
      <c r="C176">
        <v>904.8</v>
      </c>
      <c r="D176">
        <v>2796.6</v>
      </c>
      <c r="E176">
        <v>3.09</v>
      </c>
      <c r="F176">
        <v>516.20000000000005</v>
      </c>
      <c r="G176">
        <v>1574.1</v>
      </c>
      <c r="H176">
        <v>3.05</v>
      </c>
      <c r="I176">
        <v>1421</v>
      </c>
      <c r="J176">
        <v>4370.7</v>
      </c>
      <c r="K176">
        <v>3.08</v>
      </c>
    </row>
    <row r="177" spans="1:11" x14ac:dyDescent="0.3">
      <c r="A177">
        <v>2012</v>
      </c>
      <c r="B177" t="s">
        <v>19</v>
      </c>
      <c r="C177">
        <v>816.1</v>
      </c>
      <c r="D177">
        <v>2660.3</v>
      </c>
      <c r="E177">
        <v>3.26</v>
      </c>
      <c r="F177">
        <v>462.3</v>
      </c>
      <c r="G177">
        <v>1450.2</v>
      </c>
      <c r="H177">
        <v>3.14</v>
      </c>
      <c r="I177">
        <v>1278.4000000000001</v>
      </c>
      <c r="J177">
        <v>4110.5</v>
      </c>
      <c r="K177">
        <v>3.22</v>
      </c>
    </row>
    <row r="178" spans="1:11" x14ac:dyDescent="0.3">
      <c r="A178">
        <v>2012</v>
      </c>
      <c r="B178" t="s">
        <v>20</v>
      </c>
      <c r="C178">
        <v>827.8</v>
      </c>
      <c r="D178">
        <v>2728.7</v>
      </c>
      <c r="E178">
        <v>3.3</v>
      </c>
      <c r="F178">
        <v>459.3</v>
      </c>
      <c r="G178">
        <v>1490.3</v>
      </c>
      <c r="H178">
        <v>3.25</v>
      </c>
      <c r="I178">
        <v>1287</v>
      </c>
      <c r="J178">
        <v>4219</v>
      </c>
      <c r="K178">
        <v>3.28</v>
      </c>
    </row>
    <row r="179" spans="1:11" x14ac:dyDescent="0.3">
      <c r="A179">
        <v>2012</v>
      </c>
      <c r="B179" t="s">
        <v>21</v>
      </c>
      <c r="C179">
        <v>795.5</v>
      </c>
      <c r="D179">
        <v>2525.9</v>
      </c>
      <c r="E179">
        <v>3.18</v>
      </c>
      <c r="F179">
        <v>433.7</v>
      </c>
      <c r="G179">
        <v>1319.5</v>
      </c>
      <c r="H179">
        <v>3.04</v>
      </c>
      <c r="I179">
        <v>1229.0999999999999</v>
      </c>
      <c r="J179">
        <v>3845.4</v>
      </c>
      <c r="K179">
        <v>3.13</v>
      </c>
    </row>
    <row r="180" spans="1:11" x14ac:dyDescent="0.3">
      <c r="A180">
        <v>2012</v>
      </c>
      <c r="B180" t="s">
        <v>22</v>
      </c>
      <c r="C180">
        <v>851.5</v>
      </c>
      <c r="D180">
        <v>2662</v>
      </c>
      <c r="E180">
        <v>3.13</v>
      </c>
      <c r="F180">
        <v>446.9</v>
      </c>
      <c r="G180">
        <v>1383.6</v>
      </c>
      <c r="H180">
        <v>3.1</v>
      </c>
      <c r="I180">
        <v>1298.4000000000001</v>
      </c>
      <c r="J180">
        <v>4045.6</v>
      </c>
      <c r="K180">
        <v>3.12</v>
      </c>
    </row>
    <row r="181" spans="1:11" x14ac:dyDescent="0.3">
      <c r="A181" t="s">
        <v>46</v>
      </c>
      <c r="C181">
        <v>10238</v>
      </c>
      <c r="D181">
        <v>32555.9</v>
      </c>
      <c r="E181">
        <v>3.18</v>
      </c>
      <c r="F181">
        <v>5621.2</v>
      </c>
      <c r="G181">
        <v>17630.8</v>
      </c>
      <c r="H181">
        <v>3.14</v>
      </c>
      <c r="I181">
        <v>15859.2</v>
      </c>
      <c r="J181">
        <v>50186.8</v>
      </c>
      <c r="K181">
        <v>3.16</v>
      </c>
    </row>
    <row r="182" spans="1:11" x14ac:dyDescent="0.3">
      <c r="A182" t="s">
        <v>47</v>
      </c>
      <c r="C182">
        <v>-5.45E-2</v>
      </c>
      <c r="D182">
        <v>-1.6400000000000001E-2</v>
      </c>
      <c r="E182">
        <v>4.0300000000000002E-2</v>
      </c>
      <c r="F182">
        <v>1.8100000000000002E-2</v>
      </c>
      <c r="G182">
        <v>5.4699999999999999E-2</v>
      </c>
      <c r="H182">
        <v>3.5900000000000001E-2</v>
      </c>
      <c r="I182">
        <v>-0.03</v>
      </c>
      <c r="J182">
        <v>7.4000000000000003E-3</v>
      </c>
      <c r="K182">
        <v>3.8600000000000002E-2</v>
      </c>
    </row>
    <row r="183" spans="1:11" x14ac:dyDescent="0.3">
      <c r="A183">
        <v>2013</v>
      </c>
      <c r="B183" t="s">
        <v>11</v>
      </c>
      <c r="C183">
        <v>810</v>
      </c>
      <c r="D183">
        <v>2530</v>
      </c>
      <c r="E183">
        <v>3.12</v>
      </c>
      <c r="F183">
        <v>450.1</v>
      </c>
      <c r="G183">
        <v>1394</v>
      </c>
      <c r="H183">
        <v>3.1</v>
      </c>
      <c r="I183">
        <v>1260.0999999999999</v>
      </c>
      <c r="J183">
        <v>3924</v>
      </c>
      <c r="K183">
        <v>3.11</v>
      </c>
    </row>
    <row r="184" spans="1:11" x14ac:dyDescent="0.3">
      <c r="A184">
        <v>2013</v>
      </c>
      <c r="B184" t="s">
        <v>12</v>
      </c>
      <c r="C184">
        <v>737.5</v>
      </c>
      <c r="D184">
        <v>2422.4</v>
      </c>
      <c r="E184">
        <v>3.28</v>
      </c>
      <c r="F184">
        <v>403.6</v>
      </c>
      <c r="G184">
        <v>1298.5</v>
      </c>
      <c r="H184">
        <v>3.22</v>
      </c>
      <c r="I184">
        <v>1141.0999999999999</v>
      </c>
      <c r="J184">
        <v>3720.9</v>
      </c>
      <c r="K184">
        <v>3.26</v>
      </c>
    </row>
    <row r="185" spans="1:11" x14ac:dyDescent="0.3">
      <c r="A185">
        <v>2013</v>
      </c>
      <c r="B185" t="s">
        <v>13</v>
      </c>
      <c r="C185">
        <v>870.8</v>
      </c>
      <c r="D185">
        <v>2789.2</v>
      </c>
      <c r="E185">
        <v>3.2</v>
      </c>
      <c r="F185">
        <v>469.1</v>
      </c>
      <c r="G185">
        <v>1505.3</v>
      </c>
      <c r="H185">
        <v>3.21</v>
      </c>
      <c r="I185">
        <v>1339.9</v>
      </c>
      <c r="J185">
        <v>4294.5</v>
      </c>
      <c r="K185">
        <v>3.21</v>
      </c>
    </row>
    <row r="186" spans="1:11" x14ac:dyDescent="0.3">
      <c r="A186">
        <v>2013</v>
      </c>
      <c r="B186" t="s">
        <v>14</v>
      </c>
      <c r="C186">
        <v>839.4</v>
      </c>
      <c r="D186">
        <v>2560.4</v>
      </c>
      <c r="E186">
        <v>3.05</v>
      </c>
      <c r="F186">
        <v>466</v>
      </c>
      <c r="G186">
        <v>1416.4</v>
      </c>
      <c r="H186">
        <v>3.04</v>
      </c>
      <c r="I186">
        <v>1305.4000000000001</v>
      </c>
      <c r="J186">
        <v>3976.8</v>
      </c>
      <c r="K186">
        <v>3.05</v>
      </c>
    </row>
    <row r="187" spans="1:11" x14ac:dyDescent="0.3">
      <c r="A187">
        <v>2013</v>
      </c>
      <c r="B187" t="s">
        <v>15</v>
      </c>
      <c r="C187">
        <v>867.8</v>
      </c>
      <c r="D187">
        <v>2532.8000000000002</v>
      </c>
      <c r="E187">
        <v>2.92</v>
      </c>
      <c r="F187">
        <v>493.1</v>
      </c>
      <c r="G187">
        <v>1416.3</v>
      </c>
      <c r="H187">
        <v>2.87</v>
      </c>
      <c r="I187">
        <v>1360.9</v>
      </c>
      <c r="J187">
        <v>3949.1</v>
      </c>
      <c r="K187">
        <v>2.9</v>
      </c>
    </row>
    <row r="188" spans="1:11" x14ac:dyDescent="0.3">
      <c r="A188">
        <v>2013</v>
      </c>
      <c r="B188" t="s">
        <v>16</v>
      </c>
      <c r="C188">
        <v>889.6</v>
      </c>
      <c r="D188">
        <v>2579.9</v>
      </c>
      <c r="E188">
        <v>2.9</v>
      </c>
      <c r="F188">
        <v>508.8</v>
      </c>
      <c r="G188">
        <v>1469.6</v>
      </c>
      <c r="H188">
        <v>2.89</v>
      </c>
      <c r="I188">
        <v>1398.5</v>
      </c>
      <c r="J188">
        <v>4049.5</v>
      </c>
      <c r="K188">
        <v>2.9</v>
      </c>
    </row>
    <row r="189" spans="1:11" x14ac:dyDescent="0.3">
      <c r="A189">
        <v>2013</v>
      </c>
      <c r="B189" t="s">
        <v>17</v>
      </c>
      <c r="C189">
        <v>926.1</v>
      </c>
      <c r="D189">
        <v>2699.1</v>
      </c>
      <c r="E189">
        <v>2.91</v>
      </c>
      <c r="F189">
        <v>539.29999999999995</v>
      </c>
      <c r="G189">
        <v>1565</v>
      </c>
      <c r="H189">
        <v>2.9</v>
      </c>
      <c r="I189">
        <v>1465.3</v>
      </c>
      <c r="J189">
        <v>4264.1000000000004</v>
      </c>
      <c r="K189">
        <v>2.91</v>
      </c>
    </row>
    <row r="190" spans="1:11" x14ac:dyDescent="0.3">
      <c r="A190">
        <v>2013</v>
      </c>
      <c r="B190" t="s">
        <v>18</v>
      </c>
      <c r="C190">
        <v>897.4</v>
      </c>
      <c r="D190">
        <v>2737.3</v>
      </c>
      <c r="E190">
        <v>3.05</v>
      </c>
      <c r="F190">
        <v>545.5</v>
      </c>
      <c r="G190">
        <v>1576.5</v>
      </c>
      <c r="H190">
        <v>2.89</v>
      </c>
      <c r="I190">
        <v>1442.9</v>
      </c>
      <c r="J190">
        <v>4313.8</v>
      </c>
      <c r="K190">
        <v>2.99</v>
      </c>
    </row>
    <row r="191" spans="1:11" x14ac:dyDescent="0.3">
      <c r="A191">
        <v>2013</v>
      </c>
      <c r="B191" t="s">
        <v>19</v>
      </c>
      <c r="C191">
        <v>798.8</v>
      </c>
      <c r="D191">
        <v>2464.4</v>
      </c>
      <c r="E191">
        <v>3.09</v>
      </c>
      <c r="F191">
        <v>471.9</v>
      </c>
      <c r="G191">
        <v>1410.3</v>
      </c>
      <c r="H191">
        <v>2.99</v>
      </c>
      <c r="I191">
        <v>1270.7</v>
      </c>
      <c r="J191">
        <v>3874.8</v>
      </c>
      <c r="K191">
        <v>3.05</v>
      </c>
    </row>
    <row r="192" spans="1:11" x14ac:dyDescent="0.3">
      <c r="A192">
        <v>2013</v>
      </c>
      <c r="B192" t="s">
        <v>20</v>
      </c>
      <c r="C192">
        <v>839.8</v>
      </c>
      <c r="D192">
        <v>2557.6</v>
      </c>
      <c r="E192">
        <v>3.05</v>
      </c>
      <c r="F192">
        <v>486.2</v>
      </c>
      <c r="G192">
        <v>1410.8</v>
      </c>
      <c r="H192">
        <v>2.9</v>
      </c>
      <c r="I192">
        <v>1326</v>
      </c>
      <c r="J192">
        <v>3968.5</v>
      </c>
      <c r="K192">
        <v>2.99</v>
      </c>
    </row>
    <row r="193" spans="1:11" x14ac:dyDescent="0.3">
      <c r="A193">
        <v>2013</v>
      </c>
      <c r="B193" t="s">
        <v>21</v>
      </c>
      <c r="C193">
        <v>801.9</v>
      </c>
      <c r="D193">
        <v>2423</v>
      </c>
      <c r="E193">
        <v>3.02</v>
      </c>
      <c r="F193">
        <v>450.9</v>
      </c>
      <c r="G193">
        <v>1309.5999999999999</v>
      </c>
      <c r="H193">
        <v>2.9</v>
      </c>
      <c r="I193">
        <v>1252.7</v>
      </c>
      <c r="J193">
        <v>3732.6</v>
      </c>
      <c r="K193">
        <v>2.98</v>
      </c>
    </row>
    <row r="194" spans="1:11" x14ac:dyDescent="0.3">
      <c r="A194">
        <v>2013</v>
      </c>
      <c r="B194" t="s">
        <v>22</v>
      </c>
      <c r="C194">
        <v>877.2</v>
      </c>
      <c r="D194">
        <v>2656.4</v>
      </c>
      <c r="E194">
        <v>3.03</v>
      </c>
      <c r="F194">
        <v>464.1</v>
      </c>
      <c r="G194">
        <v>1391.5</v>
      </c>
      <c r="H194">
        <v>3</v>
      </c>
      <c r="I194">
        <v>1341.3</v>
      </c>
      <c r="J194">
        <v>4047.9</v>
      </c>
      <c r="K194">
        <v>3.02</v>
      </c>
    </row>
    <row r="195" spans="1:11" x14ac:dyDescent="0.3">
      <c r="A195" t="s">
        <v>48</v>
      </c>
      <c r="C195">
        <v>10156.1</v>
      </c>
      <c r="D195">
        <v>30952.5</v>
      </c>
      <c r="E195">
        <v>3.05</v>
      </c>
      <c r="F195">
        <v>5748.6</v>
      </c>
      <c r="G195">
        <v>17163.900000000001</v>
      </c>
      <c r="H195">
        <v>2.99</v>
      </c>
      <c r="I195">
        <v>15904.7</v>
      </c>
      <c r="J195">
        <v>48116.4</v>
      </c>
      <c r="K195">
        <v>3.03</v>
      </c>
    </row>
    <row r="196" spans="1:11" x14ac:dyDescent="0.3">
      <c r="A196" t="s">
        <v>49</v>
      </c>
      <c r="C196">
        <v>-8.0000000000000002E-3</v>
      </c>
      <c r="D196">
        <v>-4.9299999999999997E-2</v>
      </c>
      <c r="E196">
        <v>-4.1599999999999998E-2</v>
      </c>
      <c r="F196">
        <v>2.2700000000000001E-2</v>
      </c>
      <c r="G196">
        <v>-2.6499999999999999E-2</v>
      </c>
      <c r="H196">
        <v>-4.8099999999999997E-2</v>
      </c>
      <c r="I196">
        <v>2.8999999999999998E-3</v>
      </c>
      <c r="J196">
        <v>-4.1300000000000003E-2</v>
      </c>
      <c r="K196">
        <v>-4.3999999999999997E-2</v>
      </c>
    </row>
    <row r="197" spans="1:11" x14ac:dyDescent="0.3">
      <c r="A197">
        <v>2014</v>
      </c>
      <c r="B197" t="s">
        <v>11</v>
      </c>
      <c r="C197">
        <v>793.7</v>
      </c>
      <c r="D197">
        <v>2453.9</v>
      </c>
      <c r="E197">
        <v>3.09</v>
      </c>
      <c r="F197">
        <v>470.3</v>
      </c>
      <c r="G197">
        <v>1386.3</v>
      </c>
      <c r="H197">
        <v>2.95</v>
      </c>
      <c r="I197">
        <v>1264.0999999999999</v>
      </c>
      <c r="J197">
        <v>3840.2</v>
      </c>
      <c r="K197">
        <v>3.04</v>
      </c>
    </row>
    <row r="198" spans="1:11" x14ac:dyDescent="0.3">
      <c r="A198">
        <v>2014</v>
      </c>
      <c r="B198" t="s">
        <v>12</v>
      </c>
      <c r="C198">
        <v>737.8</v>
      </c>
      <c r="D198">
        <v>2246.3000000000002</v>
      </c>
      <c r="E198">
        <v>3.04</v>
      </c>
      <c r="F198">
        <v>406.6</v>
      </c>
      <c r="G198">
        <v>1210.2</v>
      </c>
      <c r="H198">
        <v>2.98</v>
      </c>
      <c r="I198">
        <v>1144.5</v>
      </c>
      <c r="J198">
        <v>3456.5</v>
      </c>
      <c r="K198">
        <v>3.02</v>
      </c>
    </row>
    <row r="199" spans="1:11" x14ac:dyDescent="0.3">
      <c r="A199">
        <v>2014</v>
      </c>
      <c r="B199" t="s">
        <v>13</v>
      </c>
      <c r="C199">
        <v>882.6</v>
      </c>
      <c r="D199">
        <v>2651.2</v>
      </c>
      <c r="E199">
        <v>3</v>
      </c>
      <c r="F199">
        <v>486.5</v>
      </c>
      <c r="G199">
        <v>1481.3</v>
      </c>
      <c r="H199">
        <v>3.04</v>
      </c>
      <c r="I199">
        <v>1369</v>
      </c>
      <c r="J199">
        <v>4132.3999999999996</v>
      </c>
      <c r="K199">
        <v>3.02</v>
      </c>
    </row>
    <row r="200" spans="1:11" x14ac:dyDescent="0.3">
      <c r="A200">
        <v>2014</v>
      </c>
      <c r="B200" t="s">
        <v>14</v>
      </c>
      <c r="C200">
        <v>851.1</v>
      </c>
      <c r="D200">
        <v>2536.1</v>
      </c>
      <c r="E200">
        <v>2.98</v>
      </c>
      <c r="F200">
        <v>474.5</v>
      </c>
      <c r="G200">
        <v>1391.7</v>
      </c>
      <c r="H200">
        <v>2.93</v>
      </c>
      <c r="I200">
        <v>1325.6</v>
      </c>
      <c r="J200">
        <v>3927.8</v>
      </c>
      <c r="K200">
        <v>2.96</v>
      </c>
    </row>
    <row r="201" spans="1:11" x14ac:dyDescent="0.3">
      <c r="A201">
        <v>2014</v>
      </c>
      <c r="B201" t="s">
        <v>15</v>
      </c>
      <c r="C201">
        <v>874</v>
      </c>
      <c r="D201">
        <v>2612.6</v>
      </c>
      <c r="E201">
        <v>2.99</v>
      </c>
      <c r="F201">
        <v>509.5</v>
      </c>
      <c r="G201">
        <v>1494.7</v>
      </c>
      <c r="H201">
        <v>2.93</v>
      </c>
      <c r="I201">
        <v>1383.5</v>
      </c>
      <c r="J201">
        <v>4107.3</v>
      </c>
      <c r="K201">
        <v>2.97</v>
      </c>
    </row>
    <row r="202" spans="1:11" x14ac:dyDescent="0.3">
      <c r="A202">
        <v>2014</v>
      </c>
      <c r="B202" t="s">
        <v>16</v>
      </c>
      <c r="C202">
        <v>901.2</v>
      </c>
      <c r="D202">
        <v>2677</v>
      </c>
      <c r="E202">
        <v>2.97</v>
      </c>
      <c r="F202">
        <v>529.6</v>
      </c>
      <c r="G202">
        <v>1543.1</v>
      </c>
      <c r="H202">
        <v>2.91</v>
      </c>
      <c r="I202">
        <v>1430.8</v>
      </c>
      <c r="J202">
        <v>4220</v>
      </c>
      <c r="K202">
        <v>2.95</v>
      </c>
    </row>
    <row r="203" spans="1:11" x14ac:dyDescent="0.3">
      <c r="A203">
        <v>2014</v>
      </c>
      <c r="B203" t="s">
        <v>17</v>
      </c>
      <c r="C203">
        <v>928.1</v>
      </c>
      <c r="D203">
        <v>2783.3</v>
      </c>
      <c r="E203">
        <v>3</v>
      </c>
      <c r="F203">
        <v>570.1</v>
      </c>
      <c r="G203">
        <v>1617.1</v>
      </c>
      <c r="H203">
        <v>2.84</v>
      </c>
      <c r="I203">
        <v>1498.2</v>
      </c>
      <c r="J203">
        <v>4400.5</v>
      </c>
      <c r="K203">
        <v>2.94</v>
      </c>
    </row>
    <row r="204" spans="1:11" x14ac:dyDescent="0.3">
      <c r="A204">
        <v>2014</v>
      </c>
      <c r="B204" t="s">
        <v>18</v>
      </c>
      <c r="C204">
        <v>900.4</v>
      </c>
      <c r="D204">
        <v>2685</v>
      </c>
      <c r="E204">
        <v>2.98</v>
      </c>
      <c r="F204">
        <v>559</v>
      </c>
      <c r="G204">
        <v>1587.9</v>
      </c>
      <c r="H204">
        <v>2.84</v>
      </c>
      <c r="I204">
        <v>1459.3</v>
      </c>
      <c r="J204">
        <v>4272.8999999999996</v>
      </c>
      <c r="K204">
        <v>2.93</v>
      </c>
    </row>
    <row r="205" spans="1:11" x14ac:dyDescent="0.3">
      <c r="A205">
        <v>2014</v>
      </c>
      <c r="B205" t="s">
        <v>19</v>
      </c>
      <c r="C205">
        <v>822.5</v>
      </c>
      <c r="D205">
        <v>2376.8000000000002</v>
      </c>
      <c r="E205">
        <v>2.89</v>
      </c>
      <c r="F205">
        <v>489.6</v>
      </c>
      <c r="G205">
        <v>1376.8</v>
      </c>
      <c r="H205">
        <v>2.81</v>
      </c>
      <c r="I205">
        <v>1312.2</v>
      </c>
      <c r="J205">
        <v>3753.6</v>
      </c>
      <c r="K205">
        <v>2.86</v>
      </c>
    </row>
    <row r="206" spans="1:11" x14ac:dyDescent="0.3">
      <c r="A206">
        <v>2014</v>
      </c>
      <c r="B206" t="s">
        <v>20</v>
      </c>
      <c r="C206">
        <v>872.5</v>
      </c>
      <c r="D206">
        <v>2349.1</v>
      </c>
      <c r="E206">
        <v>2.69</v>
      </c>
      <c r="F206">
        <v>483.9</v>
      </c>
      <c r="G206">
        <v>1291.5999999999999</v>
      </c>
      <c r="H206">
        <v>2.67</v>
      </c>
      <c r="I206">
        <v>1356.4</v>
      </c>
      <c r="J206">
        <v>3640.7</v>
      </c>
      <c r="K206">
        <v>2.68</v>
      </c>
    </row>
    <row r="207" spans="1:11" x14ac:dyDescent="0.3">
      <c r="A207">
        <v>2014</v>
      </c>
      <c r="B207" t="s">
        <v>21</v>
      </c>
      <c r="C207">
        <v>830</v>
      </c>
      <c r="D207">
        <v>2138.3000000000002</v>
      </c>
      <c r="E207">
        <v>2.58</v>
      </c>
      <c r="F207">
        <v>445.1</v>
      </c>
      <c r="G207">
        <v>1135.5999999999999</v>
      </c>
      <c r="H207">
        <v>2.5499999999999998</v>
      </c>
      <c r="I207">
        <v>1275.0999999999999</v>
      </c>
      <c r="J207">
        <v>3273.9</v>
      </c>
      <c r="K207">
        <v>2.57</v>
      </c>
    </row>
    <row r="208" spans="1:11" x14ac:dyDescent="0.3">
      <c r="A208">
        <v>2014</v>
      </c>
      <c r="B208" t="s">
        <v>22</v>
      </c>
      <c r="C208">
        <v>898.9</v>
      </c>
      <c r="D208">
        <v>2080.9</v>
      </c>
      <c r="E208">
        <v>2.3199999999999998</v>
      </c>
      <c r="F208">
        <v>474.8</v>
      </c>
      <c r="G208">
        <v>1104.4000000000001</v>
      </c>
      <c r="H208">
        <v>2.33</v>
      </c>
      <c r="I208">
        <v>1373.6</v>
      </c>
      <c r="J208">
        <v>3185.3</v>
      </c>
      <c r="K208">
        <v>2.3199999999999998</v>
      </c>
    </row>
    <row r="209" spans="1:11" x14ac:dyDescent="0.3">
      <c r="A209" t="s">
        <v>50</v>
      </c>
      <c r="C209">
        <v>10292.6</v>
      </c>
      <c r="D209">
        <v>29590.5</v>
      </c>
      <c r="E209">
        <v>2.87</v>
      </c>
      <c r="F209">
        <v>5899.5</v>
      </c>
      <c r="G209">
        <v>16620.7</v>
      </c>
      <c r="H209">
        <v>2.82</v>
      </c>
      <c r="I209">
        <v>16192.2</v>
      </c>
      <c r="J209">
        <v>46211.1</v>
      </c>
      <c r="K209">
        <v>2.85</v>
      </c>
    </row>
    <row r="210" spans="1:11" x14ac:dyDescent="0.3">
      <c r="A210" t="s">
        <v>51</v>
      </c>
      <c r="C210">
        <v>1.34E-2</v>
      </c>
      <c r="D210">
        <v>-4.3999999999999997E-2</v>
      </c>
      <c r="E210">
        <v>-5.67E-2</v>
      </c>
      <c r="F210">
        <v>2.63E-2</v>
      </c>
      <c r="G210">
        <v>-3.1699999999999999E-2</v>
      </c>
      <c r="H210">
        <v>-5.6399999999999999E-2</v>
      </c>
      <c r="I210">
        <v>1.8100000000000002E-2</v>
      </c>
      <c r="J210">
        <v>-3.9600000000000003E-2</v>
      </c>
      <c r="K210">
        <v>-5.6599999999999998E-2</v>
      </c>
    </row>
    <row r="211" spans="1:11" x14ac:dyDescent="0.3">
      <c r="A211">
        <v>2015</v>
      </c>
      <c r="B211" t="s">
        <v>11</v>
      </c>
      <c r="C211">
        <v>826.8</v>
      </c>
      <c r="D211">
        <v>1600.8</v>
      </c>
      <c r="E211">
        <v>1.94</v>
      </c>
      <c r="F211">
        <v>474.1</v>
      </c>
      <c r="G211">
        <v>964.6</v>
      </c>
      <c r="H211">
        <v>2.0299999999999998</v>
      </c>
      <c r="I211">
        <v>1300.9000000000001</v>
      </c>
      <c r="J211">
        <v>2565.3000000000002</v>
      </c>
      <c r="K211">
        <v>1.97</v>
      </c>
    </row>
    <row r="212" spans="1:11" x14ac:dyDescent="0.3">
      <c r="A212">
        <v>2015</v>
      </c>
      <c r="B212" t="s">
        <v>12</v>
      </c>
      <c r="C212">
        <v>755</v>
      </c>
      <c r="D212">
        <v>1683.1</v>
      </c>
      <c r="E212">
        <v>2.23</v>
      </c>
      <c r="F212">
        <v>419.8</v>
      </c>
      <c r="G212">
        <v>1031.2</v>
      </c>
      <c r="H212">
        <v>2.46</v>
      </c>
      <c r="I212">
        <v>1174.8</v>
      </c>
      <c r="J212">
        <v>2714.4</v>
      </c>
      <c r="K212">
        <v>2.31</v>
      </c>
    </row>
    <row r="213" spans="1:11" x14ac:dyDescent="0.3">
      <c r="A213">
        <v>2015</v>
      </c>
      <c r="B213" t="s">
        <v>13</v>
      </c>
      <c r="C213">
        <v>906.1</v>
      </c>
      <c r="D213">
        <v>1818.2</v>
      </c>
      <c r="E213">
        <v>2.0099999999999998</v>
      </c>
      <c r="F213">
        <v>493</v>
      </c>
      <c r="G213">
        <v>1021.1</v>
      </c>
      <c r="H213">
        <v>2.0699999999999998</v>
      </c>
      <c r="I213">
        <v>1399.1</v>
      </c>
      <c r="J213">
        <v>2839.3</v>
      </c>
      <c r="K213">
        <v>2.0299999999999998</v>
      </c>
    </row>
    <row r="214" spans="1:11" x14ac:dyDescent="0.3">
      <c r="A214">
        <v>2015</v>
      </c>
      <c r="B214" t="s">
        <v>14</v>
      </c>
      <c r="C214">
        <v>884.1</v>
      </c>
      <c r="D214">
        <v>1699.7</v>
      </c>
      <c r="E214">
        <v>1.92</v>
      </c>
      <c r="F214">
        <v>490.4</v>
      </c>
      <c r="G214">
        <v>968.6</v>
      </c>
      <c r="H214">
        <v>1.98</v>
      </c>
      <c r="I214">
        <v>1374.4</v>
      </c>
      <c r="J214">
        <v>2668.3</v>
      </c>
      <c r="K214">
        <v>1.94</v>
      </c>
    </row>
    <row r="215" spans="1:11" x14ac:dyDescent="0.3">
      <c r="A215">
        <v>2015</v>
      </c>
      <c r="B215" t="s">
        <v>15</v>
      </c>
      <c r="C215">
        <v>909.8</v>
      </c>
      <c r="D215">
        <v>1901.9</v>
      </c>
      <c r="E215">
        <v>2.09</v>
      </c>
      <c r="F215">
        <v>522.70000000000005</v>
      </c>
      <c r="G215">
        <v>1077.0999999999999</v>
      </c>
      <c r="H215">
        <v>2.06</v>
      </c>
      <c r="I215">
        <v>1432.5</v>
      </c>
      <c r="J215">
        <v>2979</v>
      </c>
      <c r="K215">
        <v>2.08</v>
      </c>
    </row>
    <row r="216" spans="1:11" x14ac:dyDescent="0.3">
      <c r="A216">
        <v>2015</v>
      </c>
      <c r="B216" t="s">
        <v>16</v>
      </c>
      <c r="C216">
        <v>939</v>
      </c>
      <c r="D216">
        <v>1915.3</v>
      </c>
      <c r="E216">
        <v>2.04</v>
      </c>
      <c r="F216">
        <v>538.79999999999995</v>
      </c>
      <c r="G216">
        <v>1115.7</v>
      </c>
      <c r="H216">
        <v>2.0699999999999998</v>
      </c>
      <c r="I216">
        <v>1477.8</v>
      </c>
      <c r="J216">
        <v>3031</v>
      </c>
      <c r="K216">
        <v>2.0499999999999998</v>
      </c>
    </row>
    <row r="217" spans="1:11" x14ac:dyDescent="0.3">
      <c r="A217">
        <v>2015</v>
      </c>
      <c r="B217" t="s">
        <v>17</v>
      </c>
      <c r="C217">
        <v>986.7</v>
      </c>
      <c r="D217">
        <v>1803.6</v>
      </c>
      <c r="E217">
        <v>1.83</v>
      </c>
      <c r="F217">
        <v>568.5</v>
      </c>
      <c r="G217">
        <v>1047.8</v>
      </c>
      <c r="H217">
        <v>1.84</v>
      </c>
      <c r="I217">
        <v>1555.1</v>
      </c>
      <c r="J217">
        <v>2851.4</v>
      </c>
      <c r="K217">
        <v>1.83</v>
      </c>
    </row>
    <row r="218" spans="1:11" x14ac:dyDescent="0.3">
      <c r="A218">
        <v>2015</v>
      </c>
      <c r="B218" t="s">
        <v>18</v>
      </c>
      <c r="C218">
        <v>957.2</v>
      </c>
      <c r="D218">
        <v>1605.2</v>
      </c>
      <c r="E218">
        <v>1.68</v>
      </c>
      <c r="F218">
        <v>557</v>
      </c>
      <c r="G218">
        <v>936.5</v>
      </c>
      <c r="H218">
        <v>1.68</v>
      </c>
      <c r="I218">
        <v>1514.2</v>
      </c>
      <c r="J218">
        <v>2541.6999999999998</v>
      </c>
      <c r="K218">
        <v>1.68</v>
      </c>
    </row>
    <row r="219" spans="1:11" x14ac:dyDescent="0.3">
      <c r="A219">
        <v>2015</v>
      </c>
      <c r="B219" t="s">
        <v>19</v>
      </c>
      <c r="C219">
        <v>857.1</v>
      </c>
      <c r="D219">
        <v>1365.8</v>
      </c>
      <c r="E219">
        <v>1.59</v>
      </c>
      <c r="F219">
        <v>502.3</v>
      </c>
      <c r="G219">
        <v>783.9</v>
      </c>
      <c r="H219">
        <v>1.56</v>
      </c>
      <c r="I219">
        <v>1359.4</v>
      </c>
      <c r="J219">
        <v>2149.6</v>
      </c>
      <c r="K219">
        <v>1.58</v>
      </c>
    </row>
    <row r="220" spans="1:11" x14ac:dyDescent="0.3">
      <c r="A220">
        <v>2015</v>
      </c>
      <c r="B220" t="s">
        <v>20</v>
      </c>
      <c r="C220">
        <v>901.6</v>
      </c>
      <c r="D220">
        <v>1472.6</v>
      </c>
      <c r="E220">
        <v>1.63</v>
      </c>
      <c r="F220">
        <v>491.8</v>
      </c>
      <c r="G220">
        <v>820.2</v>
      </c>
      <c r="H220">
        <v>1.67</v>
      </c>
      <c r="I220">
        <v>1393.4</v>
      </c>
      <c r="J220">
        <v>2292.8000000000002</v>
      </c>
      <c r="K220">
        <v>1.65</v>
      </c>
    </row>
    <row r="221" spans="1:11" x14ac:dyDescent="0.3">
      <c r="A221">
        <v>2015</v>
      </c>
      <c r="B221" t="s">
        <v>21</v>
      </c>
      <c r="C221">
        <v>871.9</v>
      </c>
      <c r="D221">
        <v>1367.5</v>
      </c>
      <c r="E221">
        <v>1.57</v>
      </c>
      <c r="F221">
        <v>446.7</v>
      </c>
      <c r="G221">
        <v>704.4</v>
      </c>
      <c r="H221">
        <v>1.58</v>
      </c>
      <c r="I221">
        <v>1318.6</v>
      </c>
      <c r="J221">
        <v>2071.9</v>
      </c>
      <c r="K221">
        <v>1.57</v>
      </c>
    </row>
    <row r="222" spans="1:11" x14ac:dyDescent="0.3">
      <c r="A222">
        <v>2015</v>
      </c>
      <c r="B222" t="s">
        <v>22</v>
      </c>
      <c r="C222">
        <v>946.1</v>
      </c>
      <c r="D222">
        <v>1366</v>
      </c>
      <c r="E222">
        <v>1.44</v>
      </c>
      <c r="F222">
        <v>483.2</v>
      </c>
      <c r="G222">
        <v>727.1</v>
      </c>
      <c r="H222">
        <v>1.5</v>
      </c>
      <c r="I222">
        <v>1429.4</v>
      </c>
      <c r="J222">
        <v>2093.1</v>
      </c>
      <c r="K222">
        <v>1.46</v>
      </c>
    </row>
    <row r="223" spans="1:11" x14ac:dyDescent="0.3">
      <c r="A223" t="s">
        <v>52</v>
      </c>
      <c r="C223">
        <v>10741.2</v>
      </c>
      <c r="D223">
        <v>19599.599999999999</v>
      </c>
      <c r="E223">
        <v>1.82</v>
      </c>
      <c r="F223">
        <v>5988.3</v>
      </c>
      <c r="G223">
        <v>11198.1</v>
      </c>
      <c r="H223">
        <v>1.87</v>
      </c>
      <c r="I223">
        <v>16729.599999999999</v>
      </c>
      <c r="J223">
        <v>30797.8</v>
      </c>
      <c r="K223">
        <v>1.84</v>
      </c>
    </row>
    <row r="224" spans="1:11" x14ac:dyDescent="0.3">
      <c r="A224" t="s">
        <v>53</v>
      </c>
      <c r="C224">
        <v>4.36E-2</v>
      </c>
      <c r="D224">
        <v>-0.33760000000000001</v>
      </c>
      <c r="E224">
        <v>-0.36530000000000001</v>
      </c>
      <c r="F224">
        <v>1.5100000000000001E-2</v>
      </c>
      <c r="G224">
        <v>-0.32629999999999998</v>
      </c>
      <c r="H224">
        <v>-0.3362</v>
      </c>
      <c r="I224">
        <v>3.32E-2</v>
      </c>
      <c r="J224">
        <v>-0.33350000000000002</v>
      </c>
      <c r="K224">
        <v>-0.35499999999999998</v>
      </c>
    </row>
    <row r="225" spans="1:11" x14ac:dyDescent="0.3">
      <c r="A225">
        <v>2016</v>
      </c>
      <c r="B225" t="s">
        <v>11</v>
      </c>
      <c r="C225">
        <v>855.7</v>
      </c>
      <c r="D225">
        <v>1103.0999999999999</v>
      </c>
      <c r="E225">
        <v>1.29</v>
      </c>
      <c r="F225">
        <v>465.4</v>
      </c>
      <c r="G225">
        <v>570</v>
      </c>
      <c r="H225">
        <v>1.22</v>
      </c>
      <c r="I225">
        <v>1321.1</v>
      </c>
      <c r="J225">
        <v>1673.1</v>
      </c>
      <c r="K225">
        <v>1.27</v>
      </c>
    </row>
    <row r="226" spans="1:11" x14ac:dyDescent="0.3">
      <c r="A226">
        <v>2016</v>
      </c>
      <c r="B226" t="s">
        <v>12</v>
      </c>
      <c r="C226">
        <v>824.7</v>
      </c>
      <c r="D226">
        <v>1020.9</v>
      </c>
      <c r="E226">
        <v>1.24</v>
      </c>
      <c r="F226">
        <v>419.3</v>
      </c>
      <c r="G226">
        <v>478.9</v>
      </c>
      <c r="H226">
        <v>1.1399999999999999</v>
      </c>
      <c r="I226">
        <v>1244</v>
      </c>
      <c r="J226">
        <v>1499.8</v>
      </c>
      <c r="K226">
        <v>1.21</v>
      </c>
    </row>
    <row r="227" spans="1:11" x14ac:dyDescent="0.3">
      <c r="A227">
        <v>2016</v>
      </c>
      <c r="B227" t="s">
        <v>13</v>
      </c>
      <c r="C227">
        <v>943.9</v>
      </c>
      <c r="D227">
        <v>1207.9000000000001</v>
      </c>
      <c r="E227">
        <v>1.28</v>
      </c>
      <c r="F227">
        <v>483.2</v>
      </c>
      <c r="G227">
        <v>586.29999999999995</v>
      </c>
      <c r="H227">
        <v>1.21</v>
      </c>
      <c r="I227">
        <v>1427.1</v>
      </c>
      <c r="J227">
        <v>1794.2</v>
      </c>
      <c r="K227">
        <v>1.26</v>
      </c>
    </row>
    <row r="228" spans="1:11" x14ac:dyDescent="0.3">
      <c r="A228">
        <v>2016</v>
      </c>
      <c r="B228" t="s">
        <v>14</v>
      </c>
      <c r="C228">
        <v>903.4</v>
      </c>
      <c r="D228">
        <v>1201.3</v>
      </c>
      <c r="E228">
        <v>1.33</v>
      </c>
      <c r="F228">
        <v>483.3</v>
      </c>
      <c r="G228">
        <v>639</v>
      </c>
      <c r="H228">
        <v>1.32</v>
      </c>
      <c r="I228">
        <v>1386.7</v>
      </c>
      <c r="J228">
        <v>1840.3</v>
      </c>
      <c r="K228">
        <v>1.33</v>
      </c>
    </row>
    <row r="229" spans="1:11" x14ac:dyDescent="0.3">
      <c r="A229">
        <v>2016</v>
      </c>
      <c r="B229" t="s">
        <v>15</v>
      </c>
      <c r="C229">
        <v>950.5</v>
      </c>
      <c r="D229">
        <v>1359.4</v>
      </c>
      <c r="E229">
        <v>1.43</v>
      </c>
      <c r="F229">
        <v>510.8</v>
      </c>
      <c r="G229">
        <v>708.1</v>
      </c>
      <c r="H229">
        <v>1.39</v>
      </c>
      <c r="I229">
        <v>1461.3</v>
      </c>
      <c r="J229">
        <v>2067.5</v>
      </c>
      <c r="K229">
        <v>1.41</v>
      </c>
    </row>
    <row r="230" spans="1:11" x14ac:dyDescent="0.3">
      <c r="A230">
        <v>2016</v>
      </c>
      <c r="B230" t="s">
        <v>16</v>
      </c>
      <c r="C230">
        <v>992.2</v>
      </c>
      <c r="D230">
        <v>1778.7</v>
      </c>
      <c r="E230">
        <v>1.79</v>
      </c>
      <c r="F230">
        <v>530</v>
      </c>
      <c r="G230">
        <v>1000.8</v>
      </c>
      <c r="H230">
        <v>1.89</v>
      </c>
      <c r="I230">
        <v>1522.3</v>
      </c>
      <c r="J230">
        <v>2779.4</v>
      </c>
      <c r="K230">
        <v>1.83</v>
      </c>
    </row>
    <row r="231" spans="1:11" x14ac:dyDescent="0.3">
      <c r="A231">
        <v>2016</v>
      </c>
      <c r="B231" t="s">
        <v>17</v>
      </c>
      <c r="C231">
        <v>1027.5999999999999</v>
      </c>
      <c r="D231">
        <v>1540.6</v>
      </c>
      <c r="E231">
        <v>1.5</v>
      </c>
      <c r="F231">
        <v>559.4</v>
      </c>
      <c r="G231">
        <v>824.7</v>
      </c>
      <c r="H231">
        <v>1.47</v>
      </c>
      <c r="I231">
        <v>1587</v>
      </c>
      <c r="J231">
        <v>2365.3000000000002</v>
      </c>
      <c r="K231">
        <v>1.49</v>
      </c>
    </row>
    <row r="232" spans="1:11" x14ac:dyDescent="0.3">
      <c r="A232">
        <v>2016</v>
      </c>
      <c r="B232" t="s">
        <v>18</v>
      </c>
      <c r="C232">
        <v>1006.7</v>
      </c>
      <c r="D232">
        <v>1450.8</v>
      </c>
      <c r="E232">
        <v>1.44</v>
      </c>
      <c r="F232">
        <v>546.29999999999995</v>
      </c>
      <c r="G232">
        <v>789</v>
      </c>
      <c r="H232">
        <v>1.44</v>
      </c>
      <c r="I232">
        <v>1553</v>
      </c>
      <c r="J232">
        <v>2239.8000000000002</v>
      </c>
      <c r="K232">
        <v>1.44</v>
      </c>
    </row>
    <row r="233" spans="1:11" x14ac:dyDescent="0.3">
      <c r="A233">
        <v>2016</v>
      </c>
      <c r="B233" t="s">
        <v>19</v>
      </c>
      <c r="C233">
        <v>897.3</v>
      </c>
      <c r="D233">
        <v>1327.9</v>
      </c>
      <c r="E233">
        <v>1.48</v>
      </c>
      <c r="F233">
        <v>491.1</v>
      </c>
      <c r="G233">
        <v>695.2</v>
      </c>
      <c r="H233">
        <v>1.42</v>
      </c>
      <c r="I233">
        <v>1388.3</v>
      </c>
      <c r="J233">
        <v>2023.1</v>
      </c>
      <c r="K233">
        <v>1.46</v>
      </c>
    </row>
    <row r="234" spans="1:11" x14ac:dyDescent="0.3">
      <c r="A234">
        <v>2016</v>
      </c>
      <c r="B234" t="s">
        <v>20</v>
      </c>
      <c r="C234">
        <v>919.7</v>
      </c>
      <c r="D234">
        <v>1459.8</v>
      </c>
      <c r="E234">
        <v>1.59</v>
      </c>
      <c r="F234">
        <v>482.5</v>
      </c>
      <c r="G234">
        <v>739.2</v>
      </c>
      <c r="H234">
        <v>1.53</v>
      </c>
      <c r="I234">
        <v>1402.2</v>
      </c>
      <c r="J234">
        <v>2199</v>
      </c>
      <c r="K234">
        <v>1.57</v>
      </c>
    </row>
    <row r="235" spans="1:11" x14ac:dyDescent="0.3">
      <c r="A235">
        <v>2016</v>
      </c>
      <c r="B235" t="s">
        <v>21</v>
      </c>
      <c r="C235">
        <v>886</v>
      </c>
      <c r="D235">
        <v>1286.4000000000001</v>
      </c>
      <c r="E235">
        <v>1.45</v>
      </c>
      <c r="F235">
        <v>432.3</v>
      </c>
      <c r="G235">
        <v>607</v>
      </c>
      <c r="H235">
        <v>1.4</v>
      </c>
      <c r="I235">
        <v>1318.3</v>
      </c>
      <c r="J235">
        <v>1893.3</v>
      </c>
      <c r="K235">
        <v>1.44</v>
      </c>
    </row>
    <row r="236" spans="1:11" x14ac:dyDescent="0.3">
      <c r="A236">
        <v>2016</v>
      </c>
      <c r="B236" t="s">
        <v>22</v>
      </c>
      <c r="C236">
        <v>959.6</v>
      </c>
      <c r="D236">
        <v>1543.1</v>
      </c>
      <c r="E236">
        <v>1.61</v>
      </c>
      <c r="F236">
        <v>473.7</v>
      </c>
      <c r="G236">
        <v>736</v>
      </c>
      <c r="H236">
        <v>1.55</v>
      </c>
      <c r="I236">
        <v>1433.2</v>
      </c>
      <c r="J236">
        <v>2279.1</v>
      </c>
      <c r="K236">
        <v>1.59</v>
      </c>
    </row>
    <row r="237" spans="1:11" x14ac:dyDescent="0.3">
      <c r="A237" t="s">
        <v>54</v>
      </c>
      <c r="C237">
        <v>11167.3</v>
      </c>
      <c r="D237">
        <v>16279.9</v>
      </c>
      <c r="E237">
        <v>1.46</v>
      </c>
      <c r="F237">
        <v>5877.3</v>
      </c>
      <c r="G237">
        <v>8374.1</v>
      </c>
      <c r="H237">
        <v>1.42</v>
      </c>
      <c r="I237">
        <v>17044.7</v>
      </c>
      <c r="J237">
        <v>24654</v>
      </c>
      <c r="K237">
        <v>1.45</v>
      </c>
    </row>
    <row r="238" spans="1:11" x14ac:dyDescent="0.3">
      <c r="A238" t="s">
        <v>55</v>
      </c>
      <c r="C238">
        <v>3.9699999999999999E-2</v>
      </c>
      <c r="D238">
        <v>-0.1694</v>
      </c>
      <c r="E238">
        <v>-0.2011</v>
      </c>
      <c r="F238">
        <v>-1.8499999999999999E-2</v>
      </c>
      <c r="G238">
        <v>-0.25219999999999998</v>
      </c>
      <c r="H238">
        <v>-0.23810000000000001</v>
      </c>
      <c r="I238">
        <v>1.8800000000000001E-2</v>
      </c>
      <c r="J238">
        <v>-0.19950000000000001</v>
      </c>
      <c r="K238">
        <v>-0.21429999999999999</v>
      </c>
    </row>
    <row r="239" spans="1:11" x14ac:dyDescent="0.3">
      <c r="A239">
        <v>2017</v>
      </c>
      <c r="B239" t="s">
        <v>11</v>
      </c>
      <c r="C239">
        <v>882.4</v>
      </c>
      <c r="D239">
        <v>1451.9</v>
      </c>
      <c r="E239">
        <v>1.65</v>
      </c>
      <c r="F239">
        <v>460.9</v>
      </c>
      <c r="G239">
        <v>753.1</v>
      </c>
      <c r="H239">
        <v>1.63</v>
      </c>
      <c r="I239">
        <v>1343.3</v>
      </c>
      <c r="J239">
        <v>2205.1</v>
      </c>
      <c r="K239">
        <v>1.64</v>
      </c>
    </row>
    <row r="240" spans="1:11" x14ac:dyDescent="0.3">
      <c r="A240">
        <v>2017</v>
      </c>
      <c r="B240" t="s">
        <v>12</v>
      </c>
      <c r="C240">
        <v>804</v>
      </c>
      <c r="D240">
        <v>1369.6</v>
      </c>
      <c r="E240">
        <v>1.7</v>
      </c>
      <c r="F240">
        <v>404</v>
      </c>
      <c r="G240">
        <v>683.5</v>
      </c>
      <c r="H240">
        <v>1.69</v>
      </c>
      <c r="I240">
        <v>1208</v>
      </c>
      <c r="J240">
        <v>2053.1</v>
      </c>
      <c r="K240">
        <v>1.7</v>
      </c>
    </row>
    <row r="241" spans="1:11" x14ac:dyDescent="0.3">
      <c r="A241">
        <v>2017</v>
      </c>
      <c r="B241" t="s">
        <v>13</v>
      </c>
      <c r="C241">
        <v>965</v>
      </c>
      <c r="D241">
        <v>1590.9</v>
      </c>
      <c r="E241">
        <v>1.65</v>
      </c>
      <c r="F241">
        <v>481</v>
      </c>
      <c r="G241">
        <v>792.7</v>
      </c>
      <c r="H241">
        <v>1.65</v>
      </c>
      <c r="I241">
        <v>1446.1</v>
      </c>
      <c r="J241">
        <v>2383.6</v>
      </c>
      <c r="K241">
        <v>1.65</v>
      </c>
    </row>
    <row r="242" spans="1:11" x14ac:dyDescent="0.3">
      <c r="A242">
        <v>2017</v>
      </c>
      <c r="B242" t="s">
        <v>14</v>
      </c>
      <c r="C242">
        <v>919.2</v>
      </c>
      <c r="D242">
        <v>1525.3</v>
      </c>
      <c r="E242">
        <v>1.66</v>
      </c>
      <c r="F242">
        <v>488.7</v>
      </c>
      <c r="G242">
        <v>798.2</v>
      </c>
      <c r="H242">
        <v>1.63</v>
      </c>
      <c r="I242">
        <v>1408</v>
      </c>
      <c r="J242">
        <v>2323.5</v>
      </c>
      <c r="K242">
        <v>1.65</v>
      </c>
    </row>
    <row r="243" spans="1:11" x14ac:dyDescent="0.3">
      <c r="A243">
        <v>2017</v>
      </c>
      <c r="B243" t="s">
        <v>15</v>
      </c>
      <c r="C243">
        <v>963.9</v>
      </c>
      <c r="D243">
        <v>1544.5</v>
      </c>
      <c r="E243">
        <v>1.6</v>
      </c>
      <c r="F243">
        <v>523.20000000000005</v>
      </c>
      <c r="G243">
        <v>839.9</v>
      </c>
      <c r="H243">
        <v>1.61</v>
      </c>
      <c r="I243">
        <v>1487.1</v>
      </c>
      <c r="J243">
        <v>2384.5</v>
      </c>
      <c r="K243">
        <v>1.6</v>
      </c>
    </row>
    <row r="244" spans="1:11" x14ac:dyDescent="0.3">
      <c r="A244">
        <v>2017</v>
      </c>
      <c r="B244" t="s">
        <v>16</v>
      </c>
      <c r="C244">
        <v>1008.7</v>
      </c>
      <c r="D244">
        <v>1546.7</v>
      </c>
      <c r="E244">
        <v>1.53</v>
      </c>
      <c r="F244">
        <v>544.9</v>
      </c>
      <c r="G244">
        <v>843.1</v>
      </c>
      <c r="H244">
        <v>1.55</v>
      </c>
      <c r="I244">
        <v>1553.6</v>
      </c>
      <c r="J244">
        <v>2389.8000000000002</v>
      </c>
      <c r="K244">
        <v>1.54</v>
      </c>
    </row>
    <row r="245" spans="1:11" x14ac:dyDescent="0.3">
      <c r="A245">
        <v>2017</v>
      </c>
      <c r="B245" t="s">
        <v>17</v>
      </c>
      <c r="C245">
        <v>1037.5</v>
      </c>
      <c r="D245">
        <v>1610.9</v>
      </c>
      <c r="E245">
        <v>1.55</v>
      </c>
      <c r="F245">
        <v>573.6</v>
      </c>
      <c r="G245">
        <v>883.8</v>
      </c>
      <c r="H245">
        <v>1.54</v>
      </c>
      <c r="I245">
        <v>1611.1</v>
      </c>
      <c r="J245">
        <v>2494.6999999999998</v>
      </c>
      <c r="K245">
        <v>1.55</v>
      </c>
    </row>
    <row r="246" spans="1:11" x14ac:dyDescent="0.3">
      <c r="A246">
        <v>2017</v>
      </c>
      <c r="B246" t="s">
        <v>18</v>
      </c>
      <c r="C246">
        <v>1030.2</v>
      </c>
      <c r="D246">
        <v>1696.2</v>
      </c>
      <c r="E246">
        <v>1.65</v>
      </c>
      <c r="F246">
        <v>559.1</v>
      </c>
      <c r="G246">
        <v>898.6</v>
      </c>
      <c r="H246">
        <v>1.61</v>
      </c>
      <c r="I246">
        <v>1589.3</v>
      </c>
      <c r="J246">
        <v>2594.8000000000002</v>
      </c>
      <c r="K246">
        <v>1.63</v>
      </c>
    </row>
    <row r="247" spans="1:11" x14ac:dyDescent="0.3">
      <c r="A247">
        <v>2017</v>
      </c>
      <c r="B247" t="s">
        <v>19</v>
      </c>
      <c r="C247">
        <v>879.4</v>
      </c>
      <c r="D247">
        <v>1589.1</v>
      </c>
      <c r="E247">
        <v>1.81</v>
      </c>
      <c r="F247">
        <v>494.3</v>
      </c>
      <c r="G247">
        <v>857.1</v>
      </c>
      <c r="H247">
        <v>1.73</v>
      </c>
      <c r="I247">
        <v>1373.6</v>
      </c>
      <c r="J247">
        <v>2446.1</v>
      </c>
      <c r="K247">
        <v>1.78</v>
      </c>
    </row>
    <row r="248" spans="1:11" x14ac:dyDescent="0.3">
      <c r="A248">
        <v>2017</v>
      </c>
      <c r="B248" t="s">
        <v>20</v>
      </c>
      <c r="C248">
        <v>953.4</v>
      </c>
      <c r="D248">
        <v>1735.7</v>
      </c>
      <c r="E248">
        <v>1.82</v>
      </c>
      <c r="F248">
        <v>495.4</v>
      </c>
      <c r="G248">
        <v>896.6</v>
      </c>
      <c r="H248">
        <v>1.81</v>
      </c>
      <c r="I248">
        <v>1448.9</v>
      </c>
      <c r="J248">
        <v>2632.3</v>
      </c>
      <c r="K248">
        <v>1.82</v>
      </c>
    </row>
    <row r="249" spans="1:11" x14ac:dyDescent="0.3">
      <c r="A249">
        <v>2017</v>
      </c>
      <c r="B249" t="s">
        <v>21</v>
      </c>
      <c r="C249">
        <v>921.7</v>
      </c>
      <c r="D249">
        <v>1726.6</v>
      </c>
      <c r="E249">
        <v>1.87</v>
      </c>
      <c r="F249">
        <v>448.8</v>
      </c>
      <c r="G249">
        <v>831.6</v>
      </c>
      <c r="H249">
        <v>1.85</v>
      </c>
      <c r="I249">
        <v>1370.5</v>
      </c>
      <c r="J249">
        <v>2558.1999999999998</v>
      </c>
      <c r="K249">
        <v>1.87</v>
      </c>
    </row>
    <row r="250" spans="1:11" x14ac:dyDescent="0.3">
      <c r="A250">
        <v>2017</v>
      </c>
      <c r="B250" t="s">
        <v>22</v>
      </c>
      <c r="C250">
        <v>975</v>
      </c>
      <c r="D250">
        <v>1862.6</v>
      </c>
      <c r="E250">
        <v>1.91</v>
      </c>
      <c r="F250">
        <v>480.8</v>
      </c>
      <c r="G250">
        <v>923.4</v>
      </c>
      <c r="H250">
        <v>1.92</v>
      </c>
      <c r="I250">
        <v>1455.8</v>
      </c>
      <c r="J250">
        <v>2785.9</v>
      </c>
      <c r="K250">
        <v>1.91</v>
      </c>
    </row>
    <row r="251" spans="1:11" x14ac:dyDescent="0.3">
      <c r="A251" t="s">
        <v>56</v>
      </c>
      <c r="C251">
        <v>11340.4</v>
      </c>
      <c r="D251">
        <v>19250</v>
      </c>
      <c r="E251">
        <v>1.7</v>
      </c>
      <c r="F251">
        <v>5954.8</v>
      </c>
      <c r="G251">
        <v>10001.6</v>
      </c>
      <c r="H251">
        <v>1.68</v>
      </c>
      <c r="I251">
        <v>17295.3</v>
      </c>
      <c r="J251">
        <v>29251.599999999999</v>
      </c>
      <c r="K251">
        <v>1.69</v>
      </c>
    </row>
    <row r="252" spans="1:11" x14ac:dyDescent="0.3">
      <c r="A252" t="s">
        <v>57</v>
      </c>
      <c r="C252">
        <v>1.55E-2</v>
      </c>
      <c r="D252">
        <v>0.18240000000000001</v>
      </c>
      <c r="E252">
        <v>0.16439999999999999</v>
      </c>
      <c r="F252">
        <v>1.32E-2</v>
      </c>
      <c r="G252">
        <v>0.1943</v>
      </c>
      <c r="H252">
        <v>0.17879999999999999</v>
      </c>
      <c r="I252">
        <v>1.47E-2</v>
      </c>
      <c r="J252">
        <v>0.1865</v>
      </c>
      <c r="K252">
        <v>0.16930000000000001</v>
      </c>
    </row>
    <row r="253" spans="1:11" x14ac:dyDescent="0.3">
      <c r="A253">
        <v>2018</v>
      </c>
      <c r="B253" t="s">
        <v>11</v>
      </c>
      <c r="C253">
        <v>910.7</v>
      </c>
      <c r="D253">
        <v>1837.8</v>
      </c>
      <c r="E253">
        <v>2.02</v>
      </c>
      <c r="F253">
        <v>468.6</v>
      </c>
      <c r="G253">
        <v>946.5</v>
      </c>
      <c r="H253">
        <v>2.02</v>
      </c>
      <c r="I253">
        <v>1379.3</v>
      </c>
      <c r="J253">
        <v>2784.3</v>
      </c>
      <c r="K253">
        <v>2.02</v>
      </c>
    </row>
    <row r="254" spans="1:11" x14ac:dyDescent="0.3">
      <c r="A254">
        <v>2018</v>
      </c>
      <c r="B254" t="s">
        <v>12</v>
      </c>
      <c r="C254">
        <v>850.9</v>
      </c>
      <c r="D254">
        <v>1721.2</v>
      </c>
      <c r="E254">
        <v>2.02</v>
      </c>
      <c r="F254">
        <v>416.4</v>
      </c>
      <c r="G254">
        <v>852.6</v>
      </c>
      <c r="H254">
        <v>2.0499999999999998</v>
      </c>
      <c r="I254">
        <v>1267.4000000000001</v>
      </c>
      <c r="J254">
        <v>2573.8000000000002</v>
      </c>
      <c r="K254">
        <v>2.0299999999999998</v>
      </c>
    </row>
    <row r="255" spans="1:11" x14ac:dyDescent="0.3">
      <c r="A255">
        <v>2018</v>
      </c>
      <c r="B255" t="s">
        <v>13</v>
      </c>
      <c r="C255">
        <v>990.3</v>
      </c>
      <c r="D255">
        <v>1936.7</v>
      </c>
      <c r="E255">
        <v>1.96</v>
      </c>
      <c r="F255">
        <v>492.7</v>
      </c>
      <c r="G255">
        <v>977.1</v>
      </c>
      <c r="H255">
        <v>1.98</v>
      </c>
      <c r="I255">
        <v>1483</v>
      </c>
      <c r="J255">
        <v>2913.9</v>
      </c>
      <c r="K255">
        <v>1.96</v>
      </c>
    </row>
    <row r="256" spans="1:11" x14ac:dyDescent="0.3">
      <c r="A256">
        <v>2018</v>
      </c>
      <c r="B256" t="s">
        <v>14</v>
      </c>
      <c r="C256">
        <v>965.4</v>
      </c>
      <c r="D256">
        <v>2005.5</v>
      </c>
      <c r="E256">
        <v>2.08</v>
      </c>
      <c r="F256">
        <v>489.7</v>
      </c>
      <c r="G256">
        <v>1024.9000000000001</v>
      </c>
      <c r="H256">
        <v>2.09</v>
      </c>
      <c r="I256">
        <v>1455.1</v>
      </c>
      <c r="J256">
        <v>3030.4</v>
      </c>
      <c r="K256">
        <v>2.08</v>
      </c>
    </row>
    <row r="257" spans="1:11" x14ac:dyDescent="0.3">
      <c r="A257">
        <v>2018</v>
      </c>
      <c r="B257" t="s">
        <v>15</v>
      </c>
      <c r="C257">
        <v>1011.8</v>
      </c>
      <c r="D257">
        <v>2209.9</v>
      </c>
      <c r="E257">
        <v>2.1800000000000002</v>
      </c>
      <c r="F257">
        <v>531.29999999999995</v>
      </c>
      <c r="G257">
        <v>1163</v>
      </c>
      <c r="H257">
        <v>2.19</v>
      </c>
      <c r="I257">
        <v>1543.1</v>
      </c>
      <c r="J257">
        <v>3372.8</v>
      </c>
      <c r="K257">
        <v>2.19</v>
      </c>
    </row>
    <row r="258" spans="1:11" x14ac:dyDescent="0.3">
      <c r="A258">
        <v>2018</v>
      </c>
      <c r="B258" t="s">
        <v>16</v>
      </c>
      <c r="C258">
        <v>1038.5999999999999</v>
      </c>
      <c r="D258">
        <v>2288.3000000000002</v>
      </c>
      <c r="E258">
        <v>2.2000000000000002</v>
      </c>
      <c r="F258">
        <v>548.5</v>
      </c>
      <c r="G258">
        <v>1222.2</v>
      </c>
      <c r="H258">
        <v>2.23</v>
      </c>
      <c r="I258">
        <v>1587.2</v>
      </c>
      <c r="J258">
        <v>3510.5</v>
      </c>
      <c r="K258">
        <v>2.21</v>
      </c>
    </row>
    <row r="259" spans="1:11" x14ac:dyDescent="0.3">
      <c r="A259">
        <v>2018</v>
      </c>
      <c r="B259" t="s">
        <v>17</v>
      </c>
      <c r="C259">
        <v>1078.4000000000001</v>
      </c>
      <c r="D259">
        <v>2365.1</v>
      </c>
      <c r="E259">
        <v>2.19</v>
      </c>
      <c r="F259">
        <v>575.79999999999995</v>
      </c>
      <c r="G259">
        <v>1277.8</v>
      </c>
      <c r="H259">
        <v>2.2200000000000002</v>
      </c>
      <c r="I259">
        <v>1654.2</v>
      </c>
      <c r="J259">
        <v>3643</v>
      </c>
      <c r="K259">
        <v>2.2000000000000002</v>
      </c>
    </row>
    <row r="260" spans="1:11" x14ac:dyDescent="0.3">
      <c r="A260">
        <v>2018</v>
      </c>
      <c r="B260" t="s">
        <v>18</v>
      </c>
      <c r="C260">
        <v>1071.0999999999999</v>
      </c>
      <c r="D260">
        <v>2349.1999999999998</v>
      </c>
      <c r="E260">
        <v>2.19</v>
      </c>
      <c r="F260">
        <v>559.5</v>
      </c>
      <c r="G260">
        <v>1231.5</v>
      </c>
      <c r="H260">
        <v>2.2000000000000002</v>
      </c>
      <c r="I260">
        <v>1630.6</v>
      </c>
      <c r="J260">
        <v>3580.7</v>
      </c>
      <c r="K260">
        <v>2.2000000000000002</v>
      </c>
    </row>
    <row r="261" spans="1:11" x14ac:dyDescent="0.3">
      <c r="A261">
        <v>2018</v>
      </c>
      <c r="B261" t="s">
        <v>19</v>
      </c>
      <c r="C261">
        <v>950.1</v>
      </c>
      <c r="D261">
        <v>2104.8000000000002</v>
      </c>
      <c r="E261">
        <v>2.2200000000000002</v>
      </c>
      <c r="F261">
        <v>503</v>
      </c>
      <c r="G261">
        <v>1127.3</v>
      </c>
      <c r="H261">
        <v>2.2400000000000002</v>
      </c>
      <c r="I261">
        <v>1453.1</v>
      </c>
      <c r="J261">
        <v>3232.1</v>
      </c>
      <c r="K261">
        <v>2.2200000000000002</v>
      </c>
    </row>
    <row r="262" spans="1:11" x14ac:dyDescent="0.3">
      <c r="A262">
        <v>2018</v>
      </c>
      <c r="B262" t="s">
        <v>20</v>
      </c>
      <c r="C262">
        <v>1003.8</v>
      </c>
      <c r="D262">
        <v>2350.6999999999998</v>
      </c>
      <c r="E262">
        <v>2.34</v>
      </c>
      <c r="F262">
        <v>501.4</v>
      </c>
      <c r="G262">
        <v>1184.8</v>
      </c>
      <c r="H262">
        <v>2.36</v>
      </c>
      <c r="I262">
        <v>1505.2</v>
      </c>
      <c r="J262">
        <v>3535.4</v>
      </c>
      <c r="K262">
        <v>2.35</v>
      </c>
    </row>
    <row r="263" spans="1:11" x14ac:dyDescent="0.3">
      <c r="A263">
        <v>2018</v>
      </c>
      <c r="B263" t="s">
        <v>21</v>
      </c>
      <c r="C263">
        <v>970.6</v>
      </c>
      <c r="D263">
        <v>2186.1</v>
      </c>
      <c r="E263">
        <v>2.25</v>
      </c>
      <c r="F263">
        <v>450.6</v>
      </c>
      <c r="G263">
        <v>1037.7</v>
      </c>
      <c r="H263">
        <v>2.2999999999999998</v>
      </c>
      <c r="I263">
        <v>1421.2</v>
      </c>
      <c r="J263">
        <v>3223.9</v>
      </c>
      <c r="K263">
        <v>2.27</v>
      </c>
    </row>
    <row r="264" spans="1:11" x14ac:dyDescent="0.3">
      <c r="A264">
        <v>2018</v>
      </c>
      <c r="B264" t="s">
        <v>22</v>
      </c>
      <c r="C264">
        <v>1006.7</v>
      </c>
      <c r="D264">
        <v>2047.3</v>
      </c>
      <c r="E264">
        <v>2.0299999999999998</v>
      </c>
      <c r="F264">
        <v>482.6</v>
      </c>
      <c r="G264">
        <v>1014.7</v>
      </c>
      <c r="H264">
        <v>2.1</v>
      </c>
      <c r="I264">
        <v>1489.2</v>
      </c>
      <c r="J264">
        <v>3062</v>
      </c>
      <c r="K264">
        <v>2.06</v>
      </c>
    </row>
    <row r="265" spans="1:11" x14ac:dyDescent="0.3">
      <c r="A265" t="s">
        <v>58</v>
      </c>
      <c r="C265">
        <v>11848.5</v>
      </c>
      <c r="D265">
        <v>25402.7</v>
      </c>
      <c r="E265">
        <v>2.14</v>
      </c>
      <c r="F265">
        <v>6020.1</v>
      </c>
      <c r="G265">
        <v>13060.1</v>
      </c>
      <c r="H265">
        <v>2.17</v>
      </c>
      <c r="I265">
        <v>17868.599999999999</v>
      </c>
      <c r="J265">
        <v>38462.800000000003</v>
      </c>
      <c r="K265">
        <v>2.15</v>
      </c>
    </row>
    <row r="266" spans="1:11" x14ac:dyDescent="0.3">
      <c r="A266" t="s">
        <v>59</v>
      </c>
      <c r="C266">
        <v>4.48E-2</v>
      </c>
      <c r="D266">
        <v>0.3196</v>
      </c>
      <c r="E266">
        <v>0.26300000000000001</v>
      </c>
      <c r="F266">
        <v>1.0999999999999999E-2</v>
      </c>
      <c r="G266">
        <v>0.30580000000000002</v>
      </c>
      <c r="H266">
        <v>0.29160000000000003</v>
      </c>
      <c r="I266">
        <v>3.32E-2</v>
      </c>
      <c r="J266">
        <v>0.31490000000000001</v>
      </c>
      <c r="K266">
        <v>0.2727</v>
      </c>
    </row>
    <row r="267" spans="1:11" x14ac:dyDescent="0.3">
      <c r="A267">
        <v>2019</v>
      </c>
      <c r="B267" t="s">
        <v>11</v>
      </c>
      <c r="C267">
        <v>947.7</v>
      </c>
      <c r="D267">
        <v>1808.5</v>
      </c>
      <c r="E267">
        <v>1.91</v>
      </c>
      <c r="F267">
        <v>475.8</v>
      </c>
      <c r="G267">
        <v>908.2</v>
      </c>
      <c r="H267">
        <v>1.91</v>
      </c>
      <c r="I267">
        <v>1423.5</v>
      </c>
      <c r="J267">
        <v>2716.7</v>
      </c>
      <c r="K267">
        <v>1.91</v>
      </c>
    </row>
    <row r="268" spans="1:11" x14ac:dyDescent="0.3">
      <c r="A268">
        <v>2019</v>
      </c>
      <c r="B268" t="s">
        <v>12</v>
      </c>
      <c r="C268">
        <v>874.7</v>
      </c>
      <c r="D268">
        <v>1741</v>
      </c>
      <c r="E268">
        <v>1.99</v>
      </c>
      <c r="F268">
        <v>415.9</v>
      </c>
      <c r="G268">
        <v>819.8</v>
      </c>
      <c r="H268">
        <v>1.97</v>
      </c>
      <c r="I268">
        <v>1290.5999999999999</v>
      </c>
      <c r="J268">
        <v>2560.8000000000002</v>
      </c>
      <c r="K268">
        <v>1.98</v>
      </c>
    </row>
    <row r="269" spans="1:11" x14ac:dyDescent="0.3">
      <c r="A269">
        <v>2019</v>
      </c>
      <c r="B269" t="s">
        <v>13</v>
      </c>
      <c r="C269">
        <v>1031.9000000000001</v>
      </c>
      <c r="D269">
        <v>2087</v>
      </c>
      <c r="E269">
        <v>2.02</v>
      </c>
      <c r="F269">
        <v>494.4</v>
      </c>
      <c r="G269">
        <v>1003.5</v>
      </c>
      <c r="H269">
        <v>2.0299999999999998</v>
      </c>
      <c r="I269">
        <v>1526.2</v>
      </c>
      <c r="J269">
        <v>3090.4</v>
      </c>
      <c r="K269">
        <v>2.02</v>
      </c>
    </row>
    <row r="270" spans="1:11" x14ac:dyDescent="0.3">
      <c r="A270">
        <v>2019</v>
      </c>
      <c r="B270" t="s">
        <v>14</v>
      </c>
      <c r="C270">
        <v>992.3</v>
      </c>
      <c r="D270">
        <v>2042.2</v>
      </c>
      <c r="E270">
        <v>2.06</v>
      </c>
      <c r="F270">
        <v>493.8</v>
      </c>
      <c r="G270">
        <v>1013</v>
      </c>
      <c r="H270">
        <v>2.0499999999999998</v>
      </c>
      <c r="I270">
        <v>1486.1</v>
      </c>
      <c r="J270">
        <v>3055.1</v>
      </c>
      <c r="K270">
        <v>2.06</v>
      </c>
    </row>
    <row r="271" spans="1:11" x14ac:dyDescent="0.3">
      <c r="A271">
        <v>2019</v>
      </c>
      <c r="B271" t="s">
        <v>15</v>
      </c>
      <c r="C271">
        <v>1047.0999999999999</v>
      </c>
      <c r="D271">
        <v>2217.3000000000002</v>
      </c>
      <c r="E271">
        <v>2.12</v>
      </c>
      <c r="F271">
        <v>536.5</v>
      </c>
      <c r="G271">
        <v>1127.8</v>
      </c>
      <c r="H271">
        <v>2.1</v>
      </c>
      <c r="I271">
        <v>1583.6</v>
      </c>
      <c r="J271">
        <v>3345.1</v>
      </c>
      <c r="K271">
        <v>2.11</v>
      </c>
    </row>
    <row r="272" spans="1:11" x14ac:dyDescent="0.3">
      <c r="A272">
        <v>2019</v>
      </c>
      <c r="B272" t="s">
        <v>16</v>
      </c>
      <c r="C272">
        <v>1060.0999999999999</v>
      </c>
      <c r="D272">
        <v>2115.1</v>
      </c>
      <c r="E272">
        <v>2</v>
      </c>
      <c r="F272">
        <v>555.20000000000005</v>
      </c>
      <c r="G272">
        <v>1129.4000000000001</v>
      </c>
      <c r="H272">
        <v>2.0299999999999998</v>
      </c>
      <c r="I272">
        <v>1615.3</v>
      </c>
      <c r="J272">
        <v>3244.5</v>
      </c>
      <c r="K272">
        <v>2.0099999999999998</v>
      </c>
    </row>
    <row r="273" spans="1:11" x14ac:dyDescent="0.3">
      <c r="A273">
        <v>2019</v>
      </c>
      <c r="B273" t="s">
        <v>17</v>
      </c>
      <c r="C273">
        <v>1099.7</v>
      </c>
      <c r="D273">
        <v>2185.9</v>
      </c>
      <c r="E273">
        <v>1.99</v>
      </c>
      <c r="F273">
        <v>576.1</v>
      </c>
      <c r="G273">
        <v>1138.3</v>
      </c>
      <c r="H273">
        <v>1.98</v>
      </c>
      <c r="I273">
        <v>1675.8</v>
      </c>
      <c r="J273">
        <v>3324.1</v>
      </c>
      <c r="K273">
        <v>1.98</v>
      </c>
    </row>
    <row r="274" spans="1:11" x14ac:dyDescent="0.3">
      <c r="A274">
        <v>2019</v>
      </c>
      <c r="B274" t="s">
        <v>18</v>
      </c>
      <c r="C274">
        <v>1089.5</v>
      </c>
      <c r="D274">
        <v>2110.8000000000002</v>
      </c>
      <c r="E274">
        <v>1.94</v>
      </c>
      <c r="F274">
        <v>563.9</v>
      </c>
      <c r="G274">
        <v>1101.5999999999999</v>
      </c>
      <c r="H274">
        <v>1.95</v>
      </c>
      <c r="I274">
        <v>1653.3</v>
      </c>
      <c r="J274">
        <v>3212.3</v>
      </c>
      <c r="K274">
        <v>1.94</v>
      </c>
    </row>
    <row r="275" spans="1:11" x14ac:dyDescent="0.3">
      <c r="A275">
        <v>2019</v>
      </c>
      <c r="B275" t="s">
        <v>19</v>
      </c>
      <c r="C275">
        <v>962.6</v>
      </c>
      <c r="D275">
        <v>1888.5</v>
      </c>
      <c r="E275">
        <v>1.96</v>
      </c>
      <c r="F275">
        <v>514</v>
      </c>
      <c r="G275">
        <v>1002.1</v>
      </c>
      <c r="H275">
        <v>1.95</v>
      </c>
      <c r="I275">
        <v>1476.6</v>
      </c>
      <c r="J275">
        <v>2890.6</v>
      </c>
      <c r="K275">
        <v>1.96</v>
      </c>
    </row>
    <row r="276" spans="1:11" x14ac:dyDescent="0.3">
      <c r="A276">
        <v>2019</v>
      </c>
      <c r="B276" t="s">
        <v>20</v>
      </c>
      <c r="C276">
        <v>1033</v>
      </c>
      <c r="D276">
        <v>2035</v>
      </c>
      <c r="E276">
        <v>1.97</v>
      </c>
      <c r="F276">
        <v>508.8</v>
      </c>
      <c r="G276">
        <v>1001.2</v>
      </c>
      <c r="H276">
        <v>1.97</v>
      </c>
      <c r="I276">
        <v>1541.8</v>
      </c>
      <c r="J276">
        <v>3036.2</v>
      </c>
      <c r="K276">
        <v>1.97</v>
      </c>
    </row>
    <row r="277" spans="1:11" x14ac:dyDescent="0.3">
      <c r="A277">
        <v>2019</v>
      </c>
      <c r="B277" t="s">
        <v>21</v>
      </c>
      <c r="C277">
        <v>986.5</v>
      </c>
      <c r="D277">
        <v>1966.6</v>
      </c>
      <c r="E277">
        <v>1.99</v>
      </c>
      <c r="F277">
        <v>457.7</v>
      </c>
      <c r="G277">
        <v>904.1</v>
      </c>
      <c r="H277">
        <v>1.98</v>
      </c>
      <c r="I277">
        <v>1444.2</v>
      </c>
      <c r="J277">
        <v>2870.7</v>
      </c>
      <c r="K277">
        <v>1.99</v>
      </c>
    </row>
    <row r="278" spans="1:11" x14ac:dyDescent="0.3">
      <c r="A278">
        <v>2019</v>
      </c>
      <c r="B278" t="s">
        <v>22</v>
      </c>
      <c r="C278">
        <v>1059</v>
      </c>
      <c r="D278">
        <v>2131.1</v>
      </c>
      <c r="E278">
        <v>2.0099999999999998</v>
      </c>
      <c r="F278">
        <v>493</v>
      </c>
      <c r="G278">
        <v>979.5</v>
      </c>
      <c r="H278">
        <v>1.99</v>
      </c>
      <c r="I278">
        <v>1552.1</v>
      </c>
      <c r="J278">
        <v>3110.5</v>
      </c>
      <c r="K278">
        <v>2</v>
      </c>
    </row>
    <row r="279" spans="1:11" x14ac:dyDescent="0.3">
      <c r="A279" t="s">
        <v>60</v>
      </c>
      <c r="C279">
        <v>12184</v>
      </c>
      <c r="D279">
        <v>24328.799999999999</v>
      </c>
      <c r="E279">
        <v>2</v>
      </c>
      <c r="F279">
        <v>6085.1</v>
      </c>
      <c r="G279">
        <v>12128.3</v>
      </c>
      <c r="H279">
        <v>1.99</v>
      </c>
      <c r="I279">
        <v>18269</v>
      </c>
      <c r="J279">
        <v>36457.1</v>
      </c>
      <c r="K279">
        <v>2</v>
      </c>
    </row>
    <row r="280" spans="1:11" x14ac:dyDescent="0.3">
      <c r="A280" t="s">
        <v>61</v>
      </c>
      <c r="C280">
        <v>2.8299999999999999E-2</v>
      </c>
      <c r="D280">
        <v>-4.2299999999999997E-2</v>
      </c>
      <c r="E280">
        <v>-6.8599999999999994E-2</v>
      </c>
      <c r="F280">
        <v>1.0800000000000001E-2</v>
      </c>
      <c r="G280">
        <v>-7.1300000000000002E-2</v>
      </c>
      <c r="H280">
        <v>-8.1299999999999997E-2</v>
      </c>
      <c r="I280">
        <v>2.24E-2</v>
      </c>
      <c r="J280">
        <v>-5.21E-2</v>
      </c>
      <c r="K280">
        <v>-7.2900000000000006E-2</v>
      </c>
    </row>
    <row r="281" spans="1:11" x14ac:dyDescent="0.3">
      <c r="A281">
        <v>2020</v>
      </c>
      <c r="B281" t="s">
        <v>11</v>
      </c>
      <c r="C281">
        <v>982.3</v>
      </c>
      <c r="D281">
        <v>1950.1</v>
      </c>
      <c r="E281">
        <v>1.99</v>
      </c>
      <c r="F281">
        <v>478.5</v>
      </c>
      <c r="G281">
        <v>944.9</v>
      </c>
      <c r="H281">
        <v>1.97</v>
      </c>
      <c r="I281">
        <v>1460.9</v>
      </c>
      <c r="J281">
        <v>2895</v>
      </c>
      <c r="K281">
        <v>1.98</v>
      </c>
    </row>
    <row r="282" spans="1:11" x14ac:dyDescent="0.3">
      <c r="A282">
        <v>2020</v>
      </c>
      <c r="B282" t="s">
        <v>12</v>
      </c>
      <c r="C282">
        <v>926.9</v>
      </c>
      <c r="D282">
        <v>1663.1</v>
      </c>
      <c r="E282">
        <v>1.79</v>
      </c>
      <c r="F282">
        <v>402.1</v>
      </c>
      <c r="G282">
        <v>739.5</v>
      </c>
      <c r="H282">
        <v>1.84</v>
      </c>
      <c r="I282">
        <v>1329</v>
      </c>
      <c r="J282">
        <v>2402.6</v>
      </c>
      <c r="K282">
        <v>1.81</v>
      </c>
    </row>
    <row r="283" spans="1:11" x14ac:dyDescent="0.3">
      <c r="A283">
        <v>2020</v>
      </c>
      <c r="B283" t="s">
        <v>13</v>
      </c>
      <c r="C283">
        <v>848.2</v>
      </c>
      <c r="D283">
        <v>1238.7</v>
      </c>
      <c r="E283">
        <v>1.46</v>
      </c>
      <c r="F283">
        <v>320.2</v>
      </c>
      <c r="G283">
        <v>485.3</v>
      </c>
      <c r="H283">
        <v>1.52</v>
      </c>
      <c r="I283">
        <v>1168.4000000000001</v>
      </c>
      <c r="J283">
        <v>1723.9</v>
      </c>
      <c r="K283">
        <v>1.48</v>
      </c>
    </row>
    <row r="284" spans="1:11" x14ac:dyDescent="0.3">
      <c r="A284">
        <v>2020</v>
      </c>
      <c r="B284" t="s">
        <v>14</v>
      </c>
      <c r="C284">
        <v>313</v>
      </c>
      <c r="D284">
        <v>455.1</v>
      </c>
      <c r="E284">
        <v>1.45</v>
      </c>
      <c r="F284">
        <v>133.80000000000001</v>
      </c>
      <c r="G284">
        <v>162.4</v>
      </c>
      <c r="H284">
        <v>1.21</v>
      </c>
      <c r="I284">
        <v>446.9</v>
      </c>
      <c r="J284">
        <v>617.5</v>
      </c>
      <c r="K284">
        <v>1.38</v>
      </c>
    </row>
    <row r="285" spans="1:11" x14ac:dyDescent="0.3">
      <c r="A285">
        <v>2020</v>
      </c>
      <c r="B285" t="s">
        <v>15</v>
      </c>
      <c r="C285">
        <v>297</v>
      </c>
      <c r="D285">
        <v>316.3</v>
      </c>
      <c r="E285">
        <v>1.07</v>
      </c>
      <c r="F285">
        <v>156.4</v>
      </c>
      <c r="G285">
        <v>149.69999999999999</v>
      </c>
      <c r="H285">
        <v>0.96</v>
      </c>
      <c r="I285">
        <v>453.4</v>
      </c>
      <c r="J285">
        <v>466.1</v>
      </c>
      <c r="K285">
        <v>1.03</v>
      </c>
    </row>
    <row r="286" spans="1:11" x14ac:dyDescent="0.3">
      <c r="A286">
        <v>2020</v>
      </c>
      <c r="B286" t="s">
        <v>16</v>
      </c>
      <c r="C286">
        <v>393.5</v>
      </c>
      <c r="D286">
        <v>442.9</v>
      </c>
      <c r="E286">
        <v>1.1299999999999999</v>
      </c>
      <c r="F286">
        <v>164.4</v>
      </c>
      <c r="G286">
        <v>161</v>
      </c>
      <c r="H286">
        <v>0.98</v>
      </c>
      <c r="I286">
        <v>558</v>
      </c>
      <c r="J286">
        <v>603.9</v>
      </c>
      <c r="K286">
        <v>1.08</v>
      </c>
    </row>
    <row r="287" spans="1:11" x14ac:dyDescent="0.3">
      <c r="A287">
        <v>2020</v>
      </c>
      <c r="B287" t="s">
        <v>17</v>
      </c>
      <c r="C287">
        <v>565.70000000000005</v>
      </c>
      <c r="D287">
        <v>666.1</v>
      </c>
      <c r="E287">
        <v>1.18</v>
      </c>
      <c r="F287">
        <v>197.4</v>
      </c>
      <c r="G287">
        <v>228.8</v>
      </c>
      <c r="H287">
        <v>1.1599999999999999</v>
      </c>
      <c r="I287">
        <v>763.1</v>
      </c>
      <c r="J287">
        <v>894.8</v>
      </c>
      <c r="K287">
        <v>1.17</v>
      </c>
    </row>
    <row r="288" spans="1:11" x14ac:dyDescent="0.3">
      <c r="A288">
        <v>2020</v>
      </c>
      <c r="B288" t="s">
        <v>18</v>
      </c>
      <c r="C288">
        <v>589.1</v>
      </c>
      <c r="D288">
        <v>714</v>
      </c>
      <c r="E288">
        <v>1.21</v>
      </c>
      <c r="F288">
        <v>212.5</v>
      </c>
      <c r="G288">
        <v>254.6</v>
      </c>
      <c r="H288">
        <v>1.2</v>
      </c>
      <c r="I288">
        <v>801.6</v>
      </c>
      <c r="J288">
        <v>968.6</v>
      </c>
      <c r="K288">
        <v>1.21</v>
      </c>
    </row>
    <row r="289" spans="1:11" x14ac:dyDescent="0.3">
      <c r="A289">
        <v>2020</v>
      </c>
      <c r="B289" t="s">
        <v>19</v>
      </c>
      <c r="C289">
        <v>508.5</v>
      </c>
      <c r="D289">
        <v>599</v>
      </c>
      <c r="E289">
        <v>1.18</v>
      </c>
      <c r="F289">
        <v>219.4</v>
      </c>
      <c r="G289">
        <v>253.3</v>
      </c>
      <c r="H289">
        <v>1.1499999999999999</v>
      </c>
      <c r="I289">
        <v>727.9</v>
      </c>
      <c r="J289">
        <v>852.3</v>
      </c>
      <c r="K289">
        <v>1.17</v>
      </c>
    </row>
    <row r="290" spans="1:11" x14ac:dyDescent="0.3">
      <c r="A290">
        <v>2020</v>
      </c>
      <c r="B290" t="s">
        <v>20</v>
      </c>
      <c r="C290">
        <v>568.9</v>
      </c>
      <c r="D290">
        <v>650.5</v>
      </c>
      <c r="E290">
        <v>1.1399999999999999</v>
      </c>
      <c r="F290">
        <v>238.5</v>
      </c>
      <c r="G290">
        <v>267</v>
      </c>
      <c r="H290">
        <v>1.1200000000000001</v>
      </c>
      <c r="I290">
        <v>807.4</v>
      </c>
      <c r="J290">
        <v>917.5</v>
      </c>
      <c r="K290">
        <v>1.1399999999999999</v>
      </c>
    </row>
    <row r="291" spans="1:11" x14ac:dyDescent="0.3">
      <c r="A291">
        <v>2020</v>
      </c>
      <c r="B291" t="s">
        <v>21</v>
      </c>
      <c r="C291">
        <v>593</v>
      </c>
      <c r="D291">
        <v>717.9</v>
      </c>
      <c r="E291">
        <v>1.21</v>
      </c>
      <c r="F291">
        <v>251.6</v>
      </c>
      <c r="G291">
        <v>295</v>
      </c>
      <c r="H291">
        <v>1.17</v>
      </c>
      <c r="I291">
        <v>844.6</v>
      </c>
      <c r="J291">
        <v>1012.9</v>
      </c>
      <c r="K291">
        <v>1.2</v>
      </c>
    </row>
    <row r="292" spans="1:11" x14ac:dyDescent="0.3">
      <c r="A292">
        <v>2020</v>
      </c>
      <c r="B292" t="s">
        <v>22</v>
      </c>
      <c r="C292">
        <v>646.70000000000005</v>
      </c>
      <c r="D292">
        <v>953</v>
      </c>
      <c r="E292">
        <v>1.47</v>
      </c>
      <c r="F292">
        <v>271.8</v>
      </c>
      <c r="G292">
        <v>379.3</v>
      </c>
      <c r="H292">
        <v>1.4</v>
      </c>
      <c r="I292">
        <v>918.4</v>
      </c>
      <c r="J292">
        <v>1332.3</v>
      </c>
      <c r="K292">
        <v>1.45</v>
      </c>
    </row>
    <row r="293" spans="1:11" x14ac:dyDescent="0.3">
      <c r="A293" t="s">
        <v>62</v>
      </c>
      <c r="C293">
        <v>7232.9</v>
      </c>
      <c r="D293">
        <v>10366.700000000001</v>
      </c>
      <c r="E293">
        <v>1.43</v>
      </c>
      <c r="F293">
        <v>3046.7</v>
      </c>
      <c r="G293">
        <v>4320.8</v>
      </c>
      <c r="H293">
        <v>1.42</v>
      </c>
      <c r="I293">
        <v>10279.5</v>
      </c>
      <c r="J293">
        <v>14687.5</v>
      </c>
      <c r="K293">
        <v>1.43</v>
      </c>
    </row>
    <row r="294" spans="1:11" x14ac:dyDescent="0.3">
      <c r="A294" t="s">
        <v>63</v>
      </c>
      <c r="C294">
        <v>-0.40639999999999998</v>
      </c>
      <c r="D294">
        <v>-0.57389999999999997</v>
      </c>
      <c r="E294">
        <v>-0.28220000000000001</v>
      </c>
      <c r="F294">
        <v>-0.49930000000000002</v>
      </c>
      <c r="G294">
        <v>-0.64370000000000005</v>
      </c>
      <c r="H294">
        <v>-0.28839999999999999</v>
      </c>
      <c r="I294">
        <v>-0.43730000000000002</v>
      </c>
      <c r="J294">
        <v>-0.59709999999999996</v>
      </c>
      <c r="K294">
        <v>-0.28399999999999997</v>
      </c>
    </row>
    <row r="295" spans="1:11" x14ac:dyDescent="0.3">
      <c r="A295">
        <v>2021</v>
      </c>
      <c r="B295" t="s">
        <v>11</v>
      </c>
      <c r="C295">
        <v>579</v>
      </c>
      <c r="D295">
        <v>877.7</v>
      </c>
      <c r="E295">
        <v>1.52</v>
      </c>
      <c r="F295">
        <v>265.2</v>
      </c>
      <c r="G295">
        <v>394.4</v>
      </c>
      <c r="H295">
        <v>1.49</v>
      </c>
      <c r="I295">
        <v>844.2</v>
      </c>
      <c r="J295">
        <v>1272.0999999999999</v>
      </c>
      <c r="K295">
        <v>1.51</v>
      </c>
    </row>
    <row r="296" spans="1:11" x14ac:dyDescent="0.3">
      <c r="A296">
        <v>2021</v>
      </c>
      <c r="B296" t="s">
        <v>12</v>
      </c>
      <c r="C296">
        <v>525.79999999999995</v>
      </c>
      <c r="D296">
        <v>848.4</v>
      </c>
      <c r="E296">
        <v>1.61</v>
      </c>
      <c r="F296">
        <v>230.7</v>
      </c>
      <c r="G296">
        <v>359.5</v>
      </c>
      <c r="H296">
        <v>1.56</v>
      </c>
      <c r="I296">
        <v>756.5</v>
      </c>
      <c r="J296">
        <v>1207.9000000000001</v>
      </c>
      <c r="K296">
        <v>1.6</v>
      </c>
    </row>
    <row r="297" spans="1:11" x14ac:dyDescent="0.3">
      <c r="A297">
        <v>2021</v>
      </c>
      <c r="B297" t="s">
        <v>13</v>
      </c>
      <c r="C297">
        <v>713.6</v>
      </c>
      <c r="D297">
        <v>1333.4</v>
      </c>
      <c r="E297">
        <v>1.87</v>
      </c>
      <c r="F297">
        <v>289.7</v>
      </c>
      <c r="G297">
        <v>520.4</v>
      </c>
      <c r="H297">
        <v>1.8</v>
      </c>
      <c r="I297">
        <v>1003.3</v>
      </c>
      <c r="J297">
        <v>1853.8</v>
      </c>
      <c r="K297">
        <v>1.85</v>
      </c>
    </row>
    <row r="298" spans="1:11" x14ac:dyDescent="0.3">
      <c r="A298">
        <v>2021</v>
      </c>
      <c r="B298" t="s">
        <v>14</v>
      </c>
      <c r="C298">
        <v>739.8</v>
      </c>
      <c r="D298">
        <v>1302.5</v>
      </c>
      <c r="E298">
        <v>1.76</v>
      </c>
      <c r="F298">
        <v>300.2</v>
      </c>
      <c r="G298">
        <v>519.79999999999995</v>
      </c>
      <c r="H298">
        <v>1.73</v>
      </c>
      <c r="I298">
        <v>1040</v>
      </c>
      <c r="J298">
        <v>1822.4</v>
      </c>
      <c r="K298">
        <v>1.75</v>
      </c>
    </row>
    <row r="299" spans="1:11" x14ac:dyDescent="0.3">
      <c r="A299">
        <v>2021</v>
      </c>
      <c r="B299" t="s">
        <v>15</v>
      </c>
      <c r="C299">
        <v>819.4</v>
      </c>
      <c r="D299">
        <v>1632.7</v>
      </c>
      <c r="E299">
        <v>1.99</v>
      </c>
      <c r="F299">
        <v>318.60000000000002</v>
      </c>
      <c r="G299">
        <v>618.29999999999995</v>
      </c>
      <c r="H299">
        <v>1.94</v>
      </c>
      <c r="I299">
        <v>1138</v>
      </c>
      <c r="J299">
        <v>2251</v>
      </c>
      <c r="K299">
        <v>1.98</v>
      </c>
    </row>
    <row r="300" spans="1:11" x14ac:dyDescent="0.3">
      <c r="A300">
        <v>2021</v>
      </c>
      <c r="B300" t="s">
        <v>16</v>
      </c>
      <c r="C300">
        <v>897.7</v>
      </c>
      <c r="D300">
        <v>1824.9</v>
      </c>
      <c r="E300">
        <v>2.0299999999999998</v>
      </c>
      <c r="F300">
        <v>332</v>
      </c>
      <c r="G300">
        <v>655.8</v>
      </c>
      <c r="H300">
        <v>1.98</v>
      </c>
      <c r="I300">
        <v>1229.7</v>
      </c>
      <c r="J300">
        <v>2480.6999999999998</v>
      </c>
      <c r="K300">
        <v>2.02</v>
      </c>
    </row>
    <row r="301" spans="1:11" x14ac:dyDescent="0.3">
      <c r="A301">
        <v>2021</v>
      </c>
      <c r="B301" t="s">
        <v>17</v>
      </c>
      <c r="C301">
        <v>993.7</v>
      </c>
      <c r="D301">
        <v>1978.3</v>
      </c>
      <c r="E301">
        <v>1.99</v>
      </c>
      <c r="F301">
        <v>354.5</v>
      </c>
      <c r="G301">
        <v>704.1</v>
      </c>
      <c r="H301">
        <v>1.99</v>
      </c>
      <c r="I301">
        <v>1348.2</v>
      </c>
      <c r="J301">
        <v>2682.3</v>
      </c>
      <c r="K301">
        <v>1.99</v>
      </c>
    </row>
    <row r="302" spans="1:11" x14ac:dyDescent="0.3">
      <c r="A302">
        <v>2021</v>
      </c>
      <c r="B302" t="s">
        <v>18</v>
      </c>
      <c r="C302">
        <v>965.2</v>
      </c>
      <c r="D302">
        <v>1907.9</v>
      </c>
      <c r="E302">
        <v>1.98</v>
      </c>
      <c r="F302">
        <v>357.7</v>
      </c>
      <c r="G302">
        <v>701.9</v>
      </c>
      <c r="H302">
        <v>1.96</v>
      </c>
      <c r="I302">
        <v>1322.9</v>
      </c>
      <c r="J302">
        <v>2609.8000000000002</v>
      </c>
      <c r="K302">
        <v>1.97</v>
      </c>
    </row>
    <row r="303" spans="1:11" x14ac:dyDescent="0.3">
      <c r="A303">
        <v>2021</v>
      </c>
      <c r="B303" t="s">
        <v>19</v>
      </c>
      <c r="C303">
        <v>884.3</v>
      </c>
      <c r="D303">
        <v>1773.3</v>
      </c>
      <c r="E303">
        <v>2.0099999999999998</v>
      </c>
      <c r="F303">
        <v>338.8</v>
      </c>
      <c r="G303">
        <v>659.3</v>
      </c>
      <c r="H303">
        <v>1.95</v>
      </c>
      <c r="I303">
        <v>1223.0999999999999</v>
      </c>
      <c r="J303">
        <v>2432.6</v>
      </c>
      <c r="K303">
        <v>1.99</v>
      </c>
    </row>
    <row r="304" spans="1:11" x14ac:dyDescent="0.3">
      <c r="A304">
        <v>2021</v>
      </c>
      <c r="B304" t="s">
        <v>20</v>
      </c>
      <c r="C304">
        <v>927.8</v>
      </c>
      <c r="D304">
        <v>2078</v>
      </c>
      <c r="E304">
        <v>2.2400000000000002</v>
      </c>
      <c r="F304">
        <v>348.9</v>
      </c>
      <c r="G304">
        <v>771.8</v>
      </c>
      <c r="H304">
        <v>2.21</v>
      </c>
      <c r="I304">
        <v>1276.7</v>
      </c>
      <c r="J304">
        <v>2849.9</v>
      </c>
      <c r="K304">
        <v>2.23</v>
      </c>
    </row>
    <row r="305" spans="1:11" x14ac:dyDescent="0.3">
      <c r="A305">
        <v>2021</v>
      </c>
      <c r="B305" t="s">
        <v>21</v>
      </c>
      <c r="C305">
        <v>915.1</v>
      </c>
      <c r="D305">
        <v>2109.4</v>
      </c>
      <c r="E305">
        <v>2.31</v>
      </c>
      <c r="F305">
        <v>339.6</v>
      </c>
      <c r="G305">
        <v>789.7</v>
      </c>
      <c r="H305">
        <v>2.33</v>
      </c>
      <c r="I305">
        <v>1254.7</v>
      </c>
      <c r="J305">
        <v>2899.1</v>
      </c>
      <c r="K305">
        <v>2.31</v>
      </c>
    </row>
    <row r="306" spans="1:11" x14ac:dyDescent="0.3">
      <c r="A306">
        <v>2021</v>
      </c>
      <c r="B306" t="s">
        <v>22</v>
      </c>
      <c r="C306">
        <v>976.5</v>
      </c>
      <c r="D306">
        <v>2085</v>
      </c>
      <c r="E306">
        <v>2.14</v>
      </c>
      <c r="F306">
        <v>371.6</v>
      </c>
      <c r="G306">
        <v>793.2</v>
      </c>
      <c r="H306">
        <v>2.13</v>
      </c>
      <c r="I306">
        <v>1348.1</v>
      </c>
      <c r="J306">
        <v>2878.2</v>
      </c>
      <c r="K306">
        <v>2.14</v>
      </c>
    </row>
    <row r="307" spans="1:11" x14ac:dyDescent="0.3">
      <c r="A307" t="s">
        <v>64</v>
      </c>
      <c r="C307">
        <v>9937.7999999999993</v>
      </c>
      <c r="D307">
        <v>19751.5</v>
      </c>
      <c r="E307">
        <v>1.99</v>
      </c>
      <c r="F307">
        <v>3847.6</v>
      </c>
      <c r="G307">
        <v>7488.3</v>
      </c>
      <c r="H307">
        <v>1.95</v>
      </c>
      <c r="I307">
        <v>13785.4</v>
      </c>
      <c r="J307">
        <v>27239.8</v>
      </c>
      <c r="K307">
        <v>1.98</v>
      </c>
    </row>
    <row r="308" spans="1:11" x14ac:dyDescent="0.3">
      <c r="A308" t="s">
        <v>65</v>
      </c>
      <c r="C308">
        <v>0.374</v>
      </c>
      <c r="D308">
        <v>0.90529999999999999</v>
      </c>
      <c r="E308">
        <v>0.38669999999999999</v>
      </c>
      <c r="F308">
        <v>0.26290000000000002</v>
      </c>
      <c r="G308">
        <v>0.73309999999999997</v>
      </c>
      <c r="H308">
        <v>0.37230000000000002</v>
      </c>
      <c r="I308">
        <v>0.34110000000000001</v>
      </c>
      <c r="J308">
        <v>0.85460000000000003</v>
      </c>
      <c r="K308">
        <v>0.38300000000000001</v>
      </c>
    </row>
    <row r="309" spans="1:11" x14ac:dyDescent="0.3">
      <c r="A309">
        <v>2022</v>
      </c>
      <c r="B309" t="s">
        <v>11</v>
      </c>
      <c r="C309">
        <v>848.5</v>
      </c>
      <c r="D309">
        <v>2003.4</v>
      </c>
      <c r="E309">
        <v>2.36</v>
      </c>
      <c r="F309">
        <v>359.2</v>
      </c>
      <c r="G309">
        <v>843.2</v>
      </c>
      <c r="H309">
        <v>2.35</v>
      </c>
      <c r="I309">
        <v>1207.5999999999999</v>
      </c>
      <c r="J309">
        <v>2846.5</v>
      </c>
      <c r="K309">
        <v>2.36</v>
      </c>
    </row>
    <row r="310" spans="1:11" x14ac:dyDescent="0.3">
      <c r="A310">
        <v>2022</v>
      </c>
      <c r="B310" t="s">
        <v>12</v>
      </c>
      <c r="C310">
        <v>820</v>
      </c>
      <c r="D310">
        <v>2123.6999999999998</v>
      </c>
      <c r="E310">
        <v>2.59</v>
      </c>
      <c r="F310">
        <v>324.2</v>
      </c>
      <c r="G310">
        <v>856.2</v>
      </c>
      <c r="H310">
        <v>2.64</v>
      </c>
      <c r="I310">
        <v>1144.2</v>
      </c>
      <c r="J310">
        <v>2979.9</v>
      </c>
      <c r="K310">
        <v>2.6</v>
      </c>
    </row>
    <row r="311" spans="1:11" x14ac:dyDescent="0.3">
      <c r="A311">
        <v>2022</v>
      </c>
      <c r="B311" t="s">
        <v>13</v>
      </c>
      <c r="C311">
        <v>980.7</v>
      </c>
      <c r="D311">
        <v>2971.3</v>
      </c>
      <c r="E311">
        <v>3.03</v>
      </c>
      <c r="F311">
        <v>395.5</v>
      </c>
      <c r="G311">
        <v>1211.3</v>
      </c>
      <c r="H311">
        <v>3.06</v>
      </c>
      <c r="I311">
        <v>1376.2</v>
      </c>
      <c r="J311">
        <v>4182.5</v>
      </c>
      <c r="K311">
        <v>3.04</v>
      </c>
    </row>
    <row r="312" spans="1:11" x14ac:dyDescent="0.3">
      <c r="A312">
        <v>2022</v>
      </c>
      <c r="B312" t="s">
        <v>14</v>
      </c>
      <c r="C312">
        <v>933.7</v>
      </c>
      <c r="D312">
        <v>3341.8</v>
      </c>
      <c r="E312">
        <v>3.58</v>
      </c>
      <c r="F312">
        <v>411.5</v>
      </c>
      <c r="G312">
        <v>1481.2</v>
      </c>
      <c r="H312">
        <v>3.6</v>
      </c>
      <c r="I312">
        <v>1345.2</v>
      </c>
      <c r="J312">
        <v>4822.8999999999996</v>
      </c>
      <c r="K312">
        <v>3.59</v>
      </c>
    </row>
    <row r="313" spans="1:11" x14ac:dyDescent="0.3">
      <c r="A313">
        <v>2022</v>
      </c>
      <c r="B313" t="s">
        <v>15</v>
      </c>
      <c r="C313">
        <v>962.3</v>
      </c>
      <c r="D313">
        <v>3756.1</v>
      </c>
      <c r="E313">
        <v>3.9</v>
      </c>
      <c r="F313">
        <v>451.7</v>
      </c>
      <c r="G313">
        <v>1753.5</v>
      </c>
      <c r="H313">
        <v>3.88</v>
      </c>
      <c r="I313">
        <v>1414</v>
      </c>
      <c r="J313">
        <v>5509.5</v>
      </c>
      <c r="K313">
        <v>3.9</v>
      </c>
    </row>
    <row r="314" spans="1:11" x14ac:dyDescent="0.3">
      <c r="A314">
        <v>2022</v>
      </c>
      <c r="B314" t="s">
        <v>16</v>
      </c>
      <c r="C314">
        <v>968.6</v>
      </c>
      <c r="D314">
        <v>3902.8</v>
      </c>
      <c r="E314">
        <v>4.03</v>
      </c>
      <c r="F314">
        <v>474.1</v>
      </c>
      <c r="G314">
        <v>1931</v>
      </c>
      <c r="H314">
        <v>4.07</v>
      </c>
      <c r="I314">
        <v>1442.7</v>
      </c>
      <c r="J314">
        <v>5833.8</v>
      </c>
      <c r="K314">
        <v>4.04</v>
      </c>
    </row>
    <row r="315" spans="1:11" x14ac:dyDescent="0.3">
      <c r="A315">
        <v>2022</v>
      </c>
      <c r="B315" t="s">
        <v>17</v>
      </c>
      <c r="C315">
        <v>1022.4</v>
      </c>
      <c r="D315">
        <v>3759.2</v>
      </c>
      <c r="E315">
        <v>3.68</v>
      </c>
      <c r="F315">
        <v>497.8</v>
      </c>
      <c r="G315">
        <v>1877.1</v>
      </c>
      <c r="H315">
        <v>3.77</v>
      </c>
      <c r="I315">
        <v>1520.2</v>
      </c>
      <c r="J315">
        <v>5636.3</v>
      </c>
      <c r="K315">
        <v>3.71</v>
      </c>
    </row>
    <row r="316" spans="1:11" x14ac:dyDescent="0.3">
      <c r="A316">
        <v>2022</v>
      </c>
      <c r="B316" t="s">
        <v>18</v>
      </c>
      <c r="C316">
        <v>1007.3</v>
      </c>
      <c r="D316">
        <v>3478.4</v>
      </c>
      <c r="E316">
        <v>3.45</v>
      </c>
      <c r="F316">
        <v>496.5</v>
      </c>
      <c r="G316">
        <v>1744.5</v>
      </c>
      <c r="H316">
        <v>3.51</v>
      </c>
      <c r="I316">
        <v>1503.8</v>
      </c>
      <c r="J316">
        <v>5222.8</v>
      </c>
      <c r="K316">
        <v>3.47</v>
      </c>
    </row>
    <row r="317" spans="1:11" x14ac:dyDescent="0.3">
      <c r="A317">
        <v>2022</v>
      </c>
      <c r="B317" t="s">
        <v>19</v>
      </c>
      <c r="C317">
        <v>946.1</v>
      </c>
      <c r="D317">
        <v>3304.2</v>
      </c>
      <c r="E317">
        <v>3.49</v>
      </c>
      <c r="F317">
        <v>455</v>
      </c>
      <c r="G317">
        <v>1581.4</v>
      </c>
      <c r="H317">
        <v>3.48</v>
      </c>
      <c r="I317">
        <v>1401.1</v>
      </c>
      <c r="J317">
        <v>4885.6000000000004</v>
      </c>
      <c r="K317">
        <v>3.49</v>
      </c>
    </row>
    <row r="318" spans="1:11" x14ac:dyDescent="0.3">
      <c r="A318">
        <v>2022</v>
      </c>
      <c r="B318" t="s">
        <v>20</v>
      </c>
      <c r="C318">
        <v>979.8</v>
      </c>
      <c r="D318">
        <v>3412.4</v>
      </c>
      <c r="E318">
        <v>3.48</v>
      </c>
      <c r="F318">
        <v>453.7</v>
      </c>
      <c r="G318">
        <v>1533.4</v>
      </c>
      <c r="H318">
        <v>3.38</v>
      </c>
      <c r="I318">
        <v>1433.5</v>
      </c>
      <c r="J318">
        <v>4945.8</v>
      </c>
      <c r="K318">
        <v>3.45</v>
      </c>
    </row>
    <row r="319" spans="1:11" x14ac:dyDescent="0.3">
      <c r="A319">
        <v>2022</v>
      </c>
      <c r="B319" t="s">
        <v>21</v>
      </c>
      <c r="C319">
        <v>965.8</v>
      </c>
      <c r="D319">
        <v>3216.7</v>
      </c>
      <c r="E319">
        <v>3.33</v>
      </c>
      <c r="F319">
        <v>431.8</v>
      </c>
      <c r="G319">
        <v>1420.7</v>
      </c>
      <c r="H319">
        <v>3.29</v>
      </c>
      <c r="I319">
        <v>1397.6</v>
      </c>
      <c r="J319">
        <v>4637.3999999999996</v>
      </c>
      <c r="K319">
        <v>3.32</v>
      </c>
    </row>
    <row r="320" spans="1:11" x14ac:dyDescent="0.3">
      <c r="A320">
        <v>2022</v>
      </c>
      <c r="B320" t="s">
        <v>22</v>
      </c>
      <c r="C320">
        <v>1006.1</v>
      </c>
      <c r="D320">
        <v>3158.1</v>
      </c>
      <c r="E320">
        <v>3.14</v>
      </c>
      <c r="F320">
        <v>465.3</v>
      </c>
      <c r="G320">
        <v>1467.4</v>
      </c>
      <c r="H320">
        <v>3.15</v>
      </c>
      <c r="I320">
        <v>1471.3</v>
      </c>
      <c r="J320">
        <v>4625.5</v>
      </c>
      <c r="K320">
        <v>3.14</v>
      </c>
    </row>
    <row r="321" spans="1:11" x14ac:dyDescent="0.3">
      <c r="A321" t="s">
        <v>66</v>
      </c>
      <c r="C321">
        <v>11441.3</v>
      </c>
      <c r="D321">
        <v>38427.9</v>
      </c>
      <c r="E321">
        <v>3.36</v>
      </c>
      <c r="F321">
        <v>5216.2</v>
      </c>
      <c r="G321">
        <v>17700.8</v>
      </c>
      <c r="H321">
        <v>3.39</v>
      </c>
      <c r="I321">
        <v>16657.5</v>
      </c>
      <c r="J321">
        <v>56128.7</v>
      </c>
      <c r="K321">
        <v>3.37</v>
      </c>
    </row>
    <row r="322" spans="1:11" x14ac:dyDescent="0.3">
      <c r="A322" t="s">
        <v>67</v>
      </c>
      <c r="C322">
        <v>0.15129999999999999</v>
      </c>
      <c r="D322">
        <v>0.9456</v>
      </c>
      <c r="E322">
        <v>0.68989999999999996</v>
      </c>
      <c r="F322">
        <v>0.35570000000000002</v>
      </c>
      <c r="G322">
        <v>1.3637999999999999</v>
      </c>
      <c r="H322">
        <v>0.74360000000000004</v>
      </c>
      <c r="I322">
        <v>0.20830000000000001</v>
      </c>
      <c r="J322">
        <v>1.0605</v>
      </c>
      <c r="K322">
        <v>0.70530000000000004</v>
      </c>
    </row>
    <row r="323" spans="1:11" x14ac:dyDescent="0.3">
      <c r="A323">
        <v>2023</v>
      </c>
      <c r="B323" t="s">
        <v>11</v>
      </c>
      <c r="C323">
        <v>972.4</v>
      </c>
      <c r="D323">
        <v>3213</v>
      </c>
      <c r="E323">
        <v>3.3</v>
      </c>
      <c r="F323">
        <v>441.9</v>
      </c>
      <c r="G323">
        <v>1400.1</v>
      </c>
      <c r="H323">
        <v>3.17</v>
      </c>
      <c r="I323">
        <v>1414.3</v>
      </c>
      <c r="J323">
        <v>4613.1000000000004</v>
      </c>
      <c r="K323">
        <v>3.26</v>
      </c>
    </row>
    <row r="324" spans="1:11" x14ac:dyDescent="0.3">
      <c r="A324">
        <v>2023</v>
      </c>
      <c r="B324" t="s">
        <v>12</v>
      </c>
      <c r="C324">
        <v>905.6</v>
      </c>
      <c r="D324">
        <v>2945.1</v>
      </c>
      <c r="E324">
        <v>3.25</v>
      </c>
      <c r="F324">
        <v>400.1</v>
      </c>
      <c r="G324">
        <v>1265.3</v>
      </c>
      <c r="H324">
        <v>3.16</v>
      </c>
      <c r="I324">
        <v>1305.7</v>
      </c>
      <c r="J324">
        <v>4210.5</v>
      </c>
      <c r="K324">
        <v>3.22</v>
      </c>
    </row>
    <row r="325" spans="1:11" x14ac:dyDescent="0.3">
      <c r="A325">
        <v>2023</v>
      </c>
      <c r="B325" t="s">
        <v>13</v>
      </c>
      <c r="C325">
        <v>1065</v>
      </c>
      <c r="D325">
        <v>3120.6</v>
      </c>
      <c r="E325">
        <v>2.93</v>
      </c>
      <c r="F325">
        <v>480.2</v>
      </c>
      <c r="G325">
        <v>1383.5</v>
      </c>
      <c r="H325">
        <v>2.88</v>
      </c>
      <c r="I325">
        <v>1545.2</v>
      </c>
      <c r="J325">
        <v>4504.1000000000004</v>
      </c>
      <c r="K325">
        <v>2.91</v>
      </c>
    </row>
    <row r="326" spans="1:11" x14ac:dyDescent="0.3">
      <c r="A326">
        <v>2023</v>
      </c>
      <c r="B326" t="s">
        <v>14</v>
      </c>
      <c r="C326">
        <v>997.2</v>
      </c>
      <c r="D326">
        <v>2654.2</v>
      </c>
      <c r="E326">
        <v>2.66</v>
      </c>
      <c r="F326">
        <v>487.1</v>
      </c>
      <c r="G326">
        <v>1290.2</v>
      </c>
      <c r="H326">
        <v>2.65</v>
      </c>
      <c r="I326">
        <v>1484.3</v>
      </c>
      <c r="J326">
        <v>3944.5</v>
      </c>
      <c r="K326">
        <v>2.66</v>
      </c>
    </row>
    <row r="327" spans="1:11" x14ac:dyDescent="0.3">
      <c r="A327">
        <v>2023</v>
      </c>
      <c r="B327" t="s">
        <v>15</v>
      </c>
      <c r="C327">
        <v>1042.2</v>
      </c>
      <c r="D327">
        <v>2550.1</v>
      </c>
      <c r="E327">
        <v>2.4500000000000002</v>
      </c>
      <c r="F327">
        <v>525.6</v>
      </c>
      <c r="G327">
        <v>1278.8</v>
      </c>
      <c r="H327">
        <v>2.4300000000000002</v>
      </c>
      <c r="I327">
        <v>1567.8</v>
      </c>
      <c r="J327">
        <v>3828.9</v>
      </c>
      <c r="K327">
        <v>2.44</v>
      </c>
    </row>
    <row r="328" spans="1:11" x14ac:dyDescent="0.3">
      <c r="A328">
        <v>2023</v>
      </c>
      <c r="B328" t="s">
        <v>16</v>
      </c>
      <c r="C328">
        <v>1058.5999999999999</v>
      </c>
      <c r="D328">
        <v>2582</v>
      </c>
      <c r="E328">
        <v>2.44</v>
      </c>
      <c r="F328">
        <v>540.29999999999995</v>
      </c>
      <c r="G328">
        <v>1294.5999999999999</v>
      </c>
      <c r="H328">
        <v>2.4</v>
      </c>
      <c r="I328">
        <v>1598.9</v>
      </c>
      <c r="J328">
        <v>3876.5</v>
      </c>
      <c r="K328">
        <v>2.42</v>
      </c>
    </row>
    <row r="329" spans="1:11" x14ac:dyDescent="0.3">
      <c r="A329">
        <v>2023</v>
      </c>
      <c r="B329" t="s">
        <v>17</v>
      </c>
      <c r="C329">
        <v>1108.5999999999999</v>
      </c>
      <c r="D329">
        <v>2768.6</v>
      </c>
      <c r="E329">
        <v>2.5</v>
      </c>
      <c r="F329">
        <v>570.4</v>
      </c>
      <c r="G329">
        <v>1394.1</v>
      </c>
      <c r="H329">
        <v>2.44</v>
      </c>
      <c r="I329">
        <v>1679</v>
      </c>
      <c r="J329">
        <v>4162.8</v>
      </c>
      <c r="K329">
        <v>2.48</v>
      </c>
    </row>
    <row r="330" spans="1:11" x14ac:dyDescent="0.3">
      <c r="A330">
        <v>2023</v>
      </c>
      <c r="B330" t="s">
        <v>18</v>
      </c>
      <c r="C330">
        <v>1107.3</v>
      </c>
      <c r="D330">
        <v>3146.3</v>
      </c>
      <c r="E330">
        <v>2.84</v>
      </c>
      <c r="F330">
        <v>567.29999999999995</v>
      </c>
      <c r="G330">
        <v>1578.9</v>
      </c>
      <c r="H330">
        <v>2.78</v>
      </c>
      <c r="I330">
        <v>1674.6</v>
      </c>
      <c r="J330">
        <v>4725.2</v>
      </c>
      <c r="K330">
        <v>2.82</v>
      </c>
    </row>
    <row r="331" spans="1:11" x14ac:dyDescent="0.3">
      <c r="A331">
        <v>2023</v>
      </c>
      <c r="B331" t="s">
        <v>19</v>
      </c>
      <c r="C331">
        <v>1004.7</v>
      </c>
      <c r="D331">
        <v>3172.2</v>
      </c>
      <c r="E331">
        <v>3.16</v>
      </c>
      <c r="F331">
        <v>515</v>
      </c>
      <c r="G331">
        <v>1605.1</v>
      </c>
      <c r="H331">
        <v>3.12</v>
      </c>
      <c r="I331">
        <v>1519.7</v>
      </c>
      <c r="J331">
        <v>4777.3</v>
      </c>
      <c r="K331">
        <v>3.14</v>
      </c>
    </row>
    <row r="332" spans="1:11" x14ac:dyDescent="0.3">
      <c r="A332">
        <v>2023</v>
      </c>
      <c r="B332" t="s">
        <v>20</v>
      </c>
      <c r="C332">
        <v>1073</v>
      </c>
      <c r="D332">
        <v>3348.3</v>
      </c>
      <c r="E332">
        <v>3.12</v>
      </c>
      <c r="F332">
        <v>516.29999999999995</v>
      </c>
      <c r="G332">
        <v>1606.8</v>
      </c>
      <c r="H332">
        <v>3.11</v>
      </c>
      <c r="I332">
        <v>1589.3</v>
      </c>
      <c r="J332">
        <v>4955.1000000000004</v>
      </c>
      <c r="K332">
        <v>3.12</v>
      </c>
    </row>
    <row r="333" spans="1:11" x14ac:dyDescent="0.3">
      <c r="A333">
        <v>2023</v>
      </c>
      <c r="B333" t="s">
        <v>21</v>
      </c>
      <c r="C333">
        <v>1017.6</v>
      </c>
      <c r="D333">
        <v>3069.9</v>
      </c>
      <c r="E333">
        <v>3.02</v>
      </c>
      <c r="F333">
        <v>486.2</v>
      </c>
      <c r="G333">
        <v>1458.9</v>
      </c>
      <c r="H333">
        <v>3</v>
      </c>
      <c r="I333">
        <v>1503.8</v>
      </c>
      <c r="J333">
        <v>4528.8</v>
      </c>
      <c r="K333">
        <v>3.01</v>
      </c>
    </row>
    <row r="334" spans="1:11" x14ac:dyDescent="0.3">
      <c r="A334">
        <v>2023</v>
      </c>
      <c r="B334" t="s">
        <v>22</v>
      </c>
      <c r="C334">
        <v>1058.5</v>
      </c>
      <c r="D334">
        <v>2957.2</v>
      </c>
      <c r="E334">
        <v>2.79</v>
      </c>
      <c r="F334">
        <v>525.70000000000005</v>
      </c>
      <c r="G334">
        <v>1471.3</v>
      </c>
      <c r="H334">
        <v>2.8</v>
      </c>
      <c r="I334">
        <v>1584.2</v>
      </c>
      <c r="J334">
        <v>4428.5</v>
      </c>
      <c r="K334">
        <v>2.8</v>
      </c>
    </row>
    <row r="335" spans="1:11" x14ac:dyDescent="0.3">
      <c r="A335" t="s">
        <v>68</v>
      </c>
      <c r="C335">
        <v>12410.5</v>
      </c>
      <c r="D335">
        <v>35527.4</v>
      </c>
      <c r="E335">
        <v>2.86</v>
      </c>
      <c r="F335">
        <v>6056.2</v>
      </c>
      <c r="G335">
        <v>17027.7</v>
      </c>
      <c r="H335">
        <v>2.81</v>
      </c>
      <c r="I335">
        <v>18466.7</v>
      </c>
      <c r="J335">
        <v>52555.1</v>
      </c>
      <c r="K335">
        <v>2.85</v>
      </c>
    </row>
    <row r="336" spans="1:11" x14ac:dyDescent="0.3">
      <c r="A336" t="s">
        <v>69</v>
      </c>
      <c r="C336">
        <v>8.4699999999999998E-2</v>
      </c>
      <c r="D336">
        <v>-7.5499999999999998E-2</v>
      </c>
      <c r="E336">
        <v>-0.1477</v>
      </c>
      <c r="F336">
        <v>0.161</v>
      </c>
      <c r="G336">
        <v>-3.7999999999999999E-2</v>
      </c>
      <c r="H336">
        <v>-0.17150000000000001</v>
      </c>
      <c r="I336">
        <v>0.1086</v>
      </c>
      <c r="J336">
        <v>-6.3700000000000007E-2</v>
      </c>
      <c r="K336">
        <v>-0.15540000000000001</v>
      </c>
    </row>
    <row r="337" spans="1:11" x14ac:dyDescent="0.3">
      <c r="A337">
        <v>2024</v>
      </c>
      <c r="B337" t="s">
        <v>11</v>
      </c>
      <c r="C337">
        <v>957.5</v>
      </c>
      <c r="D337">
        <v>2594.6999999999998</v>
      </c>
      <c r="E337">
        <v>2.71</v>
      </c>
      <c r="F337">
        <v>500.5</v>
      </c>
      <c r="G337">
        <v>1344.4</v>
      </c>
      <c r="H337">
        <v>2.69</v>
      </c>
      <c r="I337">
        <v>1458</v>
      </c>
      <c r="J337">
        <v>3939</v>
      </c>
      <c r="K337">
        <v>2.7</v>
      </c>
    </row>
    <row r="338" spans="1:11" x14ac:dyDescent="0.3">
      <c r="A338">
        <v>2024</v>
      </c>
      <c r="B338" t="s">
        <v>12</v>
      </c>
      <c r="C338">
        <v>933.7</v>
      </c>
      <c r="D338">
        <v>2663.9</v>
      </c>
      <c r="E338">
        <v>2.85</v>
      </c>
      <c r="F338">
        <v>458.4</v>
      </c>
      <c r="G338">
        <v>1279.0999999999999</v>
      </c>
      <c r="H338">
        <v>2.79</v>
      </c>
      <c r="I338">
        <v>1392</v>
      </c>
      <c r="J338">
        <v>3943</v>
      </c>
      <c r="K338">
        <v>2.83</v>
      </c>
    </row>
    <row r="339" spans="1:11" x14ac:dyDescent="0.3">
      <c r="A339">
        <v>2024</v>
      </c>
      <c r="B339" t="s">
        <v>13</v>
      </c>
      <c r="C339">
        <v>1071.2</v>
      </c>
      <c r="D339">
        <v>2975.7</v>
      </c>
      <c r="E339">
        <v>2.78</v>
      </c>
      <c r="F339">
        <v>530.29999999999995</v>
      </c>
      <c r="G339">
        <v>1459.8</v>
      </c>
      <c r="H339">
        <v>2.75</v>
      </c>
      <c r="I339">
        <v>1601.5</v>
      </c>
      <c r="J339">
        <v>4435.6000000000004</v>
      </c>
      <c r="K339">
        <v>2.77</v>
      </c>
    </row>
    <row r="340" spans="1:11" x14ac:dyDescent="0.3">
      <c r="A340">
        <v>2024</v>
      </c>
      <c r="B340" t="s">
        <v>14</v>
      </c>
      <c r="C340">
        <v>1042.7</v>
      </c>
      <c r="D340">
        <v>2880</v>
      </c>
      <c r="E340">
        <v>2.76</v>
      </c>
      <c r="F340">
        <v>522.70000000000005</v>
      </c>
      <c r="G340">
        <v>1430.6</v>
      </c>
      <c r="H340">
        <v>2.74</v>
      </c>
      <c r="I340">
        <v>1565.4</v>
      </c>
      <c r="J340">
        <v>4310.6000000000004</v>
      </c>
      <c r="K340">
        <v>2.75</v>
      </c>
    </row>
    <row r="341" spans="1:11" x14ac:dyDescent="0.3">
      <c r="A341">
        <v>2024</v>
      </c>
      <c r="B341" t="s">
        <v>15</v>
      </c>
      <c r="C341">
        <v>1088.7</v>
      </c>
      <c r="D341">
        <v>2882.7</v>
      </c>
      <c r="E341">
        <v>2.65</v>
      </c>
      <c r="F341">
        <v>556.1</v>
      </c>
      <c r="G341">
        <v>1473.9</v>
      </c>
      <c r="H341">
        <v>2.65</v>
      </c>
      <c r="I341">
        <v>1644.8</v>
      </c>
      <c r="J341">
        <v>4356.6000000000004</v>
      </c>
      <c r="K341">
        <v>2.65</v>
      </c>
    </row>
    <row r="342" spans="1:11" x14ac:dyDescent="0.3">
      <c r="A342">
        <v>2024</v>
      </c>
      <c r="B342" t="s">
        <v>16</v>
      </c>
      <c r="C342">
        <v>1102.9000000000001</v>
      </c>
      <c r="D342">
        <v>2798.6</v>
      </c>
      <c r="E342">
        <v>2.54</v>
      </c>
      <c r="F342">
        <v>578.79999999999995</v>
      </c>
      <c r="G342">
        <v>1472.5</v>
      </c>
      <c r="H342">
        <v>2.54</v>
      </c>
      <c r="I342">
        <v>1681.7</v>
      </c>
      <c r="J342">
        <v>4271.1000000000004</v>
      </c>
      <c r="K342">
        <v>2.54</v>
      </c>
    </row>
    <row r="343" spans="1:11" x14ac:dyDescent="0.3">
      <c r="A343">
        <v>2024</v>
      </c>
      <c r="B343" t="s">
        <v>17</v>
      </c>
      <c r="C343">
        <v>1136.5</v>
      </c>
      <c r="D343">
        <v>2928.6</v>
      </c>
      <c r="E343">
        <v>2.58</v>
      </c>
      <c r="F343">
        <v>597</v>
      </c>
      <c r="G343">
        <v>1543.2</v>
      </c>
      <c r="H343">
        <v>2.58</v>
      </c>
      <c r="I343">
        <v>1733.5</v>
      </c>
      <c r="J343">
        <v>4471.8</v>
      </c>
      <c r="K343">
        <v>2.58</v>
      </c>
    </row>
    <row r="344" spans="1:11" x14ac:dyDescent="0.3">
      <c r="A344">
        <v>2024</v>
      </c>
      <c r="B344" t="s">
        <v>18</v>
      </c>
      <c r="C344">
        <v>1104</v>
      </c>
      <c r="D344">
        <v>2704.4</v>
      </c>
      <c r="E344">
        <v>2.4500000000000002</v>
      </c>
      <c r="F344">
        <v>579.4</v>
      </c>
      <c r="G344">
        <v>1453.8</v>
      </c>
      <c r="H344">
        <v>2.5099999999999998</v>
      </c>
      <c r="I344">
        <v>1683.5</v>
      </c>
      <c r="J344">
        <v>4158.3</v>
      </c>
      <c r="K344">
        <v>2.4700000000000002</v>
      </c>
    </row>
    <row r="345" spans="1:11" x14ac:dyDescent="0.3">
      <c r="A345">
        <v>2024</v>
      </c>
      <c r="B345" t="s">
        <v>19</v>
      </c>
      <c r="C345">
        <v>1008.8</v>
      </c>
      <c r="D345">
        <v>2328.5</v>
      </c>
      <c r="E345">
        <v>2.31</v>
      </c>
      <c r="F345">
        <v>522.5</v>
      </c>
      <c r="G345">
        <v>1234.2</v>
      </c>
      <c r="H345">
        <v>2.36</v>
      </c>
      <c r="I345">
        <v>1531.4</v>
      </c>
      <c r="J345">
        <v>3562.8</v>
      </c>
      <c r="K345">
        <v>2.33</v>
      </c>
    </row>
    <row r="346" spans="1:11" x14ac:dyDescent="0.3">
      <c r="A346">
        <v>2024</v>
      </c>
      <c r="B346" t="s">
        <v>20</v>
      </c>
      <c r="C346">
        <v>1047.9000000000001</v>
      </c>
      <c r="D346">
        <v>2392.5</v>
      </c>
      <c r="E346">
        <v>2.2799999999999998</v>
      </c>
      <c r="F346">
        <v>528.20000000000005</v>
      </c>
      <c r="G346">
        <v>1220.5999999999999</v>
      </c>
      <c r="H346">
        <v>2.31</v>
      </c>
      <c r="I346">
        <v>1576.1</v>
      </c>
      <c r="J346">
        <v>3613.1</v>
      </c>
      <c r="K346">
        <v>2.29</v>
      </c>
    </row>
    <row r="347" spans="1:11" x14ac:dyDescent="0.3">
      <c r="A347">
        <v>2024</v>
      </c>
      <c r="B347" t="s">
        <v>21</v>
      </c>
      <c r="C347">
        <v>1005.3</v>
      </c>
      <c r="D347">
        <v>2324.6</v>
      </c>
      <c r="E347">
        <v>2.31</v>
      </c>
      <c r="F347">
        <v>489.9</v>
      </c>
      <c r="G347">
        <v>1127.2</v>
      </c>
      <c r="H347">
        <v>2.2999999999999998</v>
      </c>
      <c r="I347">
        <v>1495.2</v>
      </c>
      <c r="J347">
        <v>3451.8</v>
      </c>
      <c r="K347">
        <v>2.31</v>
      </c>
    </row>
    <row r="348" spans="1:11" x14ac:dyDescent="0.3">
      <c r="A348">
        <v>2024</v>
      </c>
      <c r="B348" t="s">
        <v>22</v>
      </c>
      <c r="C348">
        <v>1063.5</v>
      </c>
      <c r="D348">
        <v>2467.8000000000002</v>
      </c>
      <c r="E348">
        <v>2.3199999999999998</v>
      </c>
      <c r="F348">
        <v>534.29999999999995</v>
      </c>
      <c r="G348">
        <v>1247.2</v>
      </c>
      <c r="H348">
        <v>2.33</v>
      </c>
      <c r="I348">
        <v>1597.8</v>
      </c>
      <c r="J348">
        <v>3715</v>
      </c>
      <c r="K348">
        <v>2.33</v>
      </c>
    </row>
    <row r="349" spans="1:11" x14ac:dyDescent="0.3">
      <c r="A349" t="s">
        <v>70</v>
      </c>
      <c r="C349">
        <v>12562.7</v>
      </c>
      <c r="D349">
        <v>31942</v>
      </c>
      <c r="E349">
        <v>2.54</v>
      </c>
      <c r="F349">
        <v>6398.2</v>
      </c>
      <c r="G349">
        <v>16286.6</v>
      </c>
      <c r="H349">
        <v>2.5499999999999998</v>
      </c>
      <c r="I349">
        <v>18960.900000000001</v>
      </c>
      <c r="J349">
        <v>48228.6</v>
      </c>
      <c r="K349">
        <v>2.54</v>
      </c>
    </row>
    <row r="350" spans="1:11" x14ac:dyDescent="0.3">
      <c r="A350" t="s">
        <v>71</v>
      </c>
      <c r="C350">
        <v>1.23E-2</v>
      </c>
      <c r="D350">
        <v>-0.1009</v>
      </c>
      <c r="E350">
        <v>-0.1118</v>
      </c>
      <c r="F350">
        <v>5.6500000000000002E-2</v>
      </c>
      <c r="G350">
        <v>-4.3499999999999997E-2</v>
      </c>
      <c r="H350">
        <v>-9.4600000000000004E-2</v>
      </c>
      <c r="I350">
        <v>2.6800000000000001E-2</v>
      </c>
      <c r="J350">
        <v>-8.2299999999999998E-2</v>
      </c>
      <c r="K350">
        <v>-0.1062</v>
      </c>
    </row>
    <row r="351" spans="1:11" x14ac:dyDescent="0.3">
      <c r="A351">
        <v>2025</v>
      </c>
      <c r="B351" t="s">
        <v>11</v>
      </c>
      <c r="C351">
        <v>959.3</v>
      </c>
      <c r="D351">
        <v>2325.1999999999998</v>
      </c>
      <c r="E351">
        <v>2.42</v>
      </c>
      <c r="F351">
        <v>493.2</v>
      </c>
      <c r="G351">
        <v>1191.5999999999999</v>
      </c>
      <c r="H351">
        <v>2.42</v>
      </c>
      <c r="I351">
        <v>1452.5</v>
      </c>
      <c r="J351">
        <v>3516.8</v>
      </c>
      <c r="K351">
        <v>2.42</v>
      </c>
    </row>
    <row r="352" spans="1:11" x14ac:dyDescent="0.3">
      <c r="A352">
        <v>2025</v>
      </c>
      <c r="B352" t="s">
        <v>12</v>
      </c>
      <c r="C352">
        <v>913.9</v>
      </c>
      <c r="D352">
        <v>2232.4</v>
      </c>
      <c r="E352">
        <v>2.44</v>
      </c>
      <c r="F352">
        <v>442</v>
      </c>
      <c r="G352">
        <v>1085.8</v>
      </c>
      <c r="H352">
        <v>2.46</v>
      </c>
      <c r="I352">
        <v>1355.9</v>
      </c>
      <c r="J352">
        <v>3318.2</v>
      </c>
      <c r="K352">
        <v>2.4500000000000002</v>
      </c>
    </row>
    <row r="353" spans="1:11" x14ac:dyDescent="0.3">
      <c r="A353" t="s">
        <v>72</v>
      </c>
      <c r="C353">
        <v>1873.2</v>
      </c>
      <c r="D353">
        <v>4557.6000000000004</v>
      </c>
      <c r="E353">
        <v>2.4300000000000002</v>
      </c>
      <c r="F353">
        <v>935.2</v>
      </c>
      <c r="G353">
        <v>2277.4</v>
      </c>
      <c r="H353">
        <v>2.44</v>
      </c>
      <c r="I353">
        <v>2808.4</v>
      </c>
      <c r="J353">
        <v>6835</v>
      </c>
      <c r="K353">
        <v>2.4300000000000002</v>
      </c>
    </row>
    <row r="354" spans="1:11" x14ac:dyDescent="0.3">
      <c r="A354" t="s">
        <v>73</v>
      </c>
      <c r="C354">
        <v>-9.4999999999999998E-3</v>
      </c>
      <c r="D354">
        <v>-0.1333</v>
      </c>
      <c r="E354">
        <v>-0.125</v>
      </c>
      <c r="F354">
        <v>-2.47E-2</v>
      </c>
      <c r="G354">
        <v>-0.13189999999999999</v>
      </c>
      <c r="H354">
        <v>-0.1099</v>
      </c>
      <c r="I354">
        <v>-1.46E-2</v>
      </c>
      <c r="J354">
        <v>-0.1328</v>
      </c>
      <c r="K354">
        <v>-0.12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6D9A-856D-45FF-A7F6-B99B8FD3A928}">
  <dimension ref="A1:M72"/>
  <sheetViews>
    <sheetView topLeftCell="H34" workbookViewId="0">
      <selection activeCell="K18" sqref="K18"/>
    </sheetView>
  </sheetViews>
  <sheetFormatPr defaultRowHeight="14.4" x14ac:dyDescent="0.3"/>
  <cols>
    <col min="5" max="5" width="22.88671875" bestFit="1" customWidth="1"/>
    <col min="6" max="6" width="35.77734375" bestFit="1" customWidth="1"/>
    <col min="7" max="7" width="28.33203125" bestFit="1" customWidth="1"/>
    <col min="8" max="8" width="25.44140625" bestFit="1" customWidth="1"/>
    <col min="9" max="9" width="29.33203125" bestFit="1" customWidth="1"/>
    <col min="10" max="10" width="22" bestFit="1" customWidth="1"/>
    <col min="11" max="11" width="19.5546875" bestFit="1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81</v>
      </c>
      <c r="M1" t="s">
        <v>82</v>
      </c>
    </row>
    <row r="2" spans="1:13" ht="16.2" thickBot="1" x14ac:dyDescent="0.35">
      <c r="A2">
        <v>2019</v>
      </c>
      <c r="B2" t="s">
        <v>22</v>
      </c>
      <c r="C2">
        <v>1059</v>
      </c>
      <c r="D2">
        <v>2131.1</v>
      </c>
      <c r="E2">
        <v>2.0099999999999998</v>
      </c>
      <c r="F2">
        <v>493</v>
      </c>
      <c r="G2">
        <v>979.5</v>
      </c>
      <c r="H2">
        <v>1.99</v>
      </c>
      <c r="I2">
        <v>1552.1</v>
      </c>
      <c r="J2">
        <v>3110.5</v>
      </c>
      <c r="K2">
        <v>2</v>
      </c>
      <c r="L2" s="5">
        <v>46010</v>
      </c>
      <c r="M2" s="6">
        <v>79.47</v>
      </c>
    </row>
    <row r="3" spans="1:13" x14ac:dyDescent="0.3">
      <c r="A3" t="s">
        <v>60</v>
      </c>
      <c r="C3">
        <v>12184</v>
      </c>
      <c r="D3">
        <v>24328.799999999999</v>
      </c>
      <c r="E3">
        <v>2</v>
      </c>
      <c r="F3">
        <v>6085.1</v>
      </c>
      <c r="G3">
        <v>12128.3</v>
      </c>
      <c r="H3">
        <v>1.99</v>
      </c>
      <c r="I3">
        <v>18269</v>
      </c>
      <c r="J3">
        <v>36457.1</v>
      </c>
      <c r="K3">
        <v>2</v>
      </c>
    </row>
    <row r="4" spans="1:13" ht="15" thickBot="1" x14ac:dyDescent="0.35">
      <c r="A4" t="s">
        <v>61</v>
      </c>
      <c r="C4">
        <v>2.8299999999999999E-2</v>
      </c>
      <c r="D4">
        <v>-4.2299999999999997E-2</v>
      </c>
      <c r="E4">
        <v>-6.8599999999999994E-2</v>
      </c>
      <c r="F4">
        <v>1.0800000000000001E-2</v>
      </c>
      <c r="G4">
        <v>-7.1300000000000002E-2</v>
      </c>
      <c r="H4">
        <v>-8.1299999999999997E-2</v>
      </c>
      <c r="I4">
        <v>2.24E-2</v>
      </c>
      <c r="J4">
        <v>-5.21E-2</v>
      </c>
      <c r="K4">
        <v>-7.2900000000000006E-2</v>
      </c>
    </row>
    <row r="5" spans="1:13" ht="16.2" thickBot="1" x14ac:dyDescent="0.35">
      <c r="A5">
        <v>2020</v>
      </c>
      <c r="B5" t="s">
        <v>11</v>
      </c>
      <c r="C5">
        <v>982.3</v>
      </c>
      <c r="D5">
        <v>1950.1</v>
      </c>
      <c r="E5">
        <v>1.99</v>
      </c>
      <c r="F5">
        <v>478.5</v>
      </c>
      <c r="G5">
        <v>944.9</v>
      </c>
      <c r="H5">
        <v>1.97</v>
      </c>
      <c r="I5">
        <v>1460.9</v>
      </c>
      <c r="J5">
        <v>2895</v>
      </c>
      <c r="K5">
        <v>1.98</v>
      </c>
      <c r="L5" s="7">
        <v>45677</v>
      </c>
      <c r="M5" s="8">
        <v>80.75</v>
      </c>
    </row>
    <row r="6" spans="1:13" ht="16.2" thickBot="1" x14ac:dyDescent="0.35">
      <c r="A6">
        <v>2020</v>
      </c>
      <c r="B6" t="s">
        <v>12</v>
      </c>
      <c r="C6">
        <v>926.9</v>
      </c>
      <c r="D6">
        <v>1663.1</v>
      </c>
      <c r="E6">
        <v>1.79</v>
      </c>
      <c r="F6">
        <v>402.1</v>
      </c>
      <c r="G6">
        <v>739.5</v>
      </c>
      <c r="H6">
        <v>1.84</v>
      </c>
      <c r="I6">
        <v>1329</v>
      </c>
      <c r="J6">
        <v>2402.6</v>
      </c>
      <c r="K6">
        <v>1.81</v>
      </c>
      <c r="L6" s="7">
        <v>45708</v>
      </c>
      <c r="M6" s="8">
        <v>80.42</v>
      </c>
    </row>
    <row r="7" spans="1:13" ht="16.2" thickBot="1" x14ac:dyDescent="0.35">
      <c r="A7">
        <v>2020</v>
      </c>
      <c r="B7" t="s">
        <v>13</v>
      </c>
      <c r="C7">
        <v>848.2</v>
      </c>
      <c r="D7">
        <v>1238.7</v>
      </c>
      <c r="E7">
        <v>1.46</v>
      </c>
      <c r="F7">
        <v>320.2</v>
      </c>
      <c r="G7">
        <v>485.3</v>
      </c>
      <c r="H7">
        <v>1.52</v>
      </c>
      <c r="I7">
        <v>1168.4000000000001</v>
      </c>
      <c r="J7">
        <v>1723.9</v>
      </c>
      <c r="K7">
        <v>1.48</v>
      </c>
      <c r="L7" s="7">
        <v>45736</v>
      </c>
      <c r="M7" s="8">
        <v>37.58</v>
      </c>
    </row>
    <row r="8" spans="1:13" ht="16.2" thickBot="1" x14ac:dyDescent="0.35">
      <c r="A8">
        <v>2020</v>
      </c>
      <c r="B8" t="s">
        <v>14</v>
      </c>
      <c r="C8">
        <v>313</v>
      </c>
      <c r="D8">
        <v>455.1</v>
      </c>
      <c r="E8">
        <v>1.45</v>
      </c>
      <c r="F8">
        <v>133.80000000000001</v>
      </c>
      <c r="G8">
        <v>162.4</v>
      </c>
      <c r="H8">
        <v>1.21</v>
      </c>
      <c r="I8">
        <v>446.9</v>
      </c>
      <c r="J8">
        <v>617.5</v>
      </c>
      <c r="K8">
        <v>1.38</v>
      </c>
      <c r="L8" s="7">
        <v>45767</v>
      </c>
      <c r="M8" s="8">
        <v>3.01</v>
      </c>
    </row>
    <row r="9" spans="1:13" ht="16.2" thickBot="1" x14ac:dyDescent="0.35">
      <c r="A9">
        <v>2020</v>
      </c>
      <c r="B9" t="s">
        <v>15</v>
      </c>
      <c r="C9">
        <v>297</v>
      </c>
      <c r="D9">
        <v>316.3</v>
      </c>
      <c r="E9">
        <v>1.07</v>
      </c>
      <c r="F9">
        <v>156.4</v>
      </c>
      <c r="G9">
        <v>149.69999999999999</v>
      </c>
      <c r="H9">
        <v>0.96</v>
      </c>
      <c r="I9">
        <v>453.4</v>
      </c>
      <c r="J9">
        <v>466.1</v>
      </c>
      <c r="K9">
        <v>1.03</v>
      </c>
      <c r="L9" s="7">
        <v>45797</v>
      </c>
      <c r="M9" s="8">
        <v>7.56</v>
      </c>
    </row>
    <row r="10" spans="1:13" ht="16.2" thickBot="1" x14ac:dyDescent="0.35">
      <c r="A10">
        <v>2020</v>
      </c>
      <c r="B10" t="s">
        <v>16</v>
      </c>
      <c r="C10">
        <v>393.5</v>
      </c>
      <c r="D10">
        <v>442.9</v>
      </c>
      <c r="E10">
        <v>1.1299999999999999</v>
      </c>
      <c r="F10">
        <v>164.4</v>
      </c>
      <c r="G10">
        <v>161</v>
      </c>
      <c r="H10">
        <v>0.98</v>
      </c>
      <c r="I10">
        <v>558</v>
      </c>
      <c r="J10">
        <v>603.9</v>
      </c>
      <c r="K10">
        <v>1.08</v>
      </c>
      <c r="L10" s="7">
        <v>45828</v>
      </c>
      <c r="M10" s="8">
        <v>15.14</v>
      </c>
    </row>
    <row r="11" spans="1:13" ht="16.2" thickBot="1" x14ac:dyDescent="0.35">
      <c r="A11">
        <v>2020</v>
      </c>
      <c r="B11" t="s">
        <v>17</v>
      </c>
      <c r="C11">
        <v>565.70000000000005</v>
      </c>
      <c r="D11">
        <v>666.1</v>
      </c>
      <c r="E11">
        <v>1.18</v>
      </c>
      <c r="F11">
        <v>197.4</v>
      </c>
      <c r="G11">
        <v>228.8</v>
      </c>
      <c r="H11">
        <v>1.1599999999999999</v>
      </c>
      <c r="I11">
        <v>763.1</v>
      </c>
      <c r="J11">
        <v>894.8</v>
      </c>
      <c r="K11">
        <v>1.17</v>
      </c>
      <c r="L11" s="7">
        <v>45858</v>
      </c>
      <c r="M11" s="8">
        <v>20.76</v>
      </c>
    </row>
    <row r="12" spans="1:13" ht="16.2" thickBot="1" x14ac:dyDescent="0.35">
      <c r="A12">
        <v>2020</v>
      </c>
      <c r="B12" t="s">
        <v>18</v>
      </c>
      <c r="C12">
        <v>589.1</v>
      </c>
      <c r="D12">
        <v>714</v>
      </c>
      <c r="E12">
        <v>1.21</v>
      </c>
      <c r="F12">
        <v>212.5</v>
      </c>
      <c r="G12">
        <v>254.6</v>
      </c>
      <c r="H12">
        <v>1.2</v>
      </c>
      <c r="I12">
        <v>801.6</v>
      </c>
      <c r="J12">
        <v>968.6</v>
      </c>
      <c r="K12">
        <v>1.21</v>
      </c>
      <c r="L12" s="7">
        <v>45889</v>
      </c>
      <c r="M12" s="8">
        <v>24.29</v>
      </c>
    </row>
    <row r="13" spans="1:13" ht="16.2" thickBot="1" x14ac:dyDescent="0.35">
      <c r="A13">
        <v>2020</v>
      </c>
      <c r="B13" t="s">
        <v>19</v>
      </c>
      <c r="C13">
        <v>508.5</v>
      </c>
      <c r="D13">
        <v>599</v>
      </c>
      <c r="E13">
        <v>1.18</v>
      </c>
      <c r="F13">
        <v>219.4</v>
      </c>
      <c r="G13">
        <v>253.3</v>
      </c>
      <c r="H13">
        <v>1.1499999999999999</v>
      </c>
      <c r="I13">
        <v>727.9</v>
      </c>
      <c r="J13">
        <v>852.3</v>
      </c>
      <c r="K13">
        <v>1.17</v>
      </c>
      <c r="L13" s="7">
        <v>45920</v>
      </c>
      <c r="M13" s="8">
        <v>26.85</v>
      </c>
    </row>
    <row r="14" spans="1:13" ht="16.2" thickBot="1" x14ac:dyDescent="0.35">
      <c r="A14">
        <v>2020</v>
      </c>
      <c r="B14" t="s">
        <v>20</v>
      </c>
      <c r="C14">
        <v>568.9</v>
      </c>
      <c r="D14">
        <v>650.5</v>
      </c>
      <c r="E14">
        <v>1.1399999999999999</v>
      </c>
      <c r="F14">
        <v>238.5</v>
      </c>
      <c r="G14">
        <v>267</v>
      </c>
      <c r="H14">
        <v>1.1200000000000001</v>
      </c>
      <c r="I14">
        <v>807.4</v>
      </c>
      <c r="J14">
        <v>917.5</v>
      </c>
      <c r="K14">
        <v>1.1399999999999999</v>
      </c>
      <c r="L14" s="7">
        <v>45950</v>
      </c>
      <c r="M14" s="8">
        <v>29.28</v>
      </c>
    </row>
    <row r="15" spans="1:13" ht="16.2" thickBot="1" x14ac:dyDescent="0.35">
      <c r="A15">
        <v>2020</v>
      </c>
      <c r="B15" t="s">
        <v>21</v>
      </c>
      <c r="C15">
        <v>593</v>
      </c>
      <c r="D15">
        <v>717.9</v>
      </c>
      <c r="E15">
        <v>1.21</v>
      </c>
      <c r="F15">
        <v>251.6</v>
      </c>
      <c r="G15">
        <v>295</v>
      </c>
      <c r="H15">
        <v>1.17</v>
      </c>
      <c r="I15">
        <v>844.6</v>
      </c>
      <c r="J15">
        <v>1012.9</v>
      </c>
      <c r="K15">
        <v>1.2</v>
      </c>
      <c r="L15" s="7">
        <v>45981</v>
      </c>
      <c r="M15" s="8">
        <v>30.24</v>
      </c>
    </row>
    <row r="16" spans="1:13" ht="16.2" thickBot="1" x14ac:dyDescent="0.35">
      <c r="A16">
        <v>2020</v>
      </c>
      <c r="B16" t="s">
        <v>22</v>
      </c>
      <c r="C16">
        <v>646.70000000000005</v>
      </c>
      <c r="D16">
        <v>953</v>
      </c>
      <c r="E16">
        <v>1.47</v>
      </c>
      <c r="F16">
        <v>271.8</v>
      </c>
      <c r="G16">
        <v>379.3</v>
      </c>
      <c r="H16">
        <v>1.4</v>
      </c>
      <c r="I16">
        <v>918.4</v>
      </c>
      <c r="J16">
        <v>1332.3</v>
      </c>
      <c r="K16">
        <v>1.45</v>
      </c>
      <c r="L16" s="7">
        <v>46011</v>
      </c>
      <c r="M16" s="8">
        <v>31.72</v>
      </c>
    </row>
    <row r="17" spans="1:13" x14ac:dyDescent="0.3">
      <c r="A17" t="s">
        <v>62</v>
      </c>
      <c r="C17">
        <v>7232.9</v>
      </c>
      <c r="D17">
        <v>10366.700000000001</v>
      </c>
      <c r="E17">
        <v>1.43</v>
      </c>
      <c r="F17">
        <v>3046.7</v>
      </c>
      <c r="G17">
        <v>4320.8</v>
      </c>
      <c r="H17">
        <v>1.42</v>
      </c>
      <c r="I17">
        <v>10279.5</v>
      </c>
      <c r="J17">
        <v>14687.5</v>
      </c>
      <c r="K17">
        <v>1.43</v>
      </c>
    </row>
    <row r="18" spans="1:13" ht="15" thickBot="1" x14ac:dyDescent="0.35">
      <c r="A18" t="s">
        <v>63</v>
      </c>
      <c r="C18">
        <v>-0.40639999999999998</v>
      </c>
      <c r="D18">
        <v>-0.57389999999999997</v>
      </c>
      <c r="E18">
        <v>-0.28220000000000001</v>
      </c>
      <c r="F18">
        <v>-0.49930000000000002</v>
      </c>
      <c r="G18">
        <v>-0.64370000000000005</v>
      </c>
      <c r="H18">
        <v>-0.28839999999999999</v>
      </c>
      <c r="I18">
        <v>-0.43730000000000002</v>
      </c>
      <c r="J18">
        <v>-0.59709999999999996</v>
      </c>
      <c r="K18">
        <v>-0.28399999999999997</v>
      </c>
    </row>
    <row r="19" spans="1:13" ht="16.2" thickBot="1" x14ac:dyDescent="0.35">
      <c r="A19">
        <v>2021</v>
      </c>
      <c r="B19" t="s">
        <v>11</v>
      </c>
      <c r="C19">
        <v>579</v>
      </c>
      <c r="D19">
        <v>877.7</v>
      </c>
      <c r="E19">
        <v>1.52</v>
      </c>
      <c r="F19">
        <v>265.2</v>
      </c>
      <c r="G19">
        <v>394.4</v>
      </c>
      <c r="H19">
        <v>1.49</v>
      </c>
      <c r="I19">
        <v>844.2</v>
      </c>
      <c r="J19">
        <v>1272.0999999999999</v>
      </c>
      <c r="K19">
        <v>1.51</v>
      </c>
      <c r="L19" s="7">
        <v>45678</v>
      </c>
      <c r="M19" s="8">
        <v>31.67</v>
      </c>
    </row>
    <row r="20" spans="1:13" ht="16.2" thickBot="1" x14ac:dyDescent="0.35">
      <c r="A20">
        <v>2021</v>
      </c>
      <c r="B20" t="s">
        <v>12</v>
      </c>
      <c r="C20">
        <v>525.79999999999995</v>
      </c>
      <c r="D20">
        <v>848.4</v>
      </c>
      <c r="E20">
        <v>1.61</v>
      </c>
      <c r="F20">
        <v>230.7</v>
      </c>
      <c r="G20">
        <v>359.5</v>
      </c>
      <c r="H20">
        <v>1.56</v>
      </c>
      <c r="I20">
        <v>756.5</v>
      </c>
      <c r="J20">
        <v>1207.9000000000001</v>
      </c>
      <c r="K20">
        <v>1.6</v>
      </c>
      <c r="L20" s="7">
        <v>45709</v>
      </c>
      <c r="M20" s="8">
        <v>32.479999999999997</v>
      </c>
    </row>
    <row r="21" spans="1:13" ht="16.2" thickBot="1" x14ac:dyDescent="0.35">
      <c r="A21">
        <v>2021</v>
      </c>
      <c r="B21" t="s">
        <v>13</v>
      </c>
      <c r="C21">
        <v>713.6</v>
      </c>
      <c r="D21">
        <v>1333.4</v>
      </c>
      <c r="E21">
        <v>1.87</v>
      </c>
      <c r="F21">
        <v>289.7</v>
      </c>
      <c r="G21">
        <v>520.4</v>
      </c>
      <c r="H21">
        <v>1.8</v>
      </c>
      <c r="I21">
        <v>1003.3</v>
      </c>
      <c r="J21">
        <v>1853.8</v>
      </c>
      <c r="K21">
        <v>1.85</v>
      </c>
      <c r="L21" s="7">
        <v>45737</v>
      </c>
      <c r="M21" s="8">
        <v>41</v>
      </c>
    </row>
    <row r="22" spans="1:13" ht="16.2" thickBot="1" x14ac:dyDescent="0.35">
      <c r="A22">
        <v>2021</v>
      </c>
      <c r="B22" t="s">
        <v>14</v>
      </c>
      <c r="C22">
        <v>739.8</v>
      </c>
      <c r="D22">
        <v>1302.5</v>
      </c>
      <c r="E22">
        <v>1.76</v>
      </c>
      <c r="F22">
        <v>300.2</v>
      </c>
      <c r="G22">
        <v>519.79999999999995</v>
      </c>
      <c r="H22">
        <v>1.73</v>
      </c>
      <c r="I22">
        <v>1040</v>
      </c>
      <c r="J22">
        <v>1822.4</v>
      </c>
      <c r="K22">
        <v>1.75</v>
      </c>
      <c r="L22" s="7">
        <v>45768</v>
      </c>
      <c r="M22" s="8">
        <v>47.09</v>
      </c>
    </row>
    <row r="23" spans="1:13" ht="16.2" thickBot="1" x14ac:dyDescent="0.35">
      <c r="A23">
        <v>2021</v>
      </c>
      <c r="B23" t="s">
        <v>15</v>
      </c>
      <c r="C23">
        <v>819.4</v>
      </c>
      <c r="D23">
        <v>1632.7</v>
      </c>
      <c r="E23">
        <v>1.99</v>
      </c>
      <c r="F23">
        <v>318.60000000000002</v>
      </c>
      <c r="G23">
        <v>618.29999999999995</v>
      </c>
      <c r="H23">
        <v>1.94</v>
      </c>
      <c r="I23">
        <v>1138</v>
      </c>
      <c r="J23">
        <v>2251</v>
      </c>
      <c r="K23">
        <v>1.98</v>
      </c>
      <c r="L23" s="7">
        <v>45798</v>
      </c>
      <c r="M23" s="8">
        <v>54.58</v>
      </c>
    </row>
    <row r="24" spans="1:13" ht="16.2" thickBot="1" x14ac:dyDescent="0.35">
      <c r="A24">
        <v>2021</v>
      </c>
      <c r="B24" t="s">
        <v>16</v>
      </c>
      <c r="C24">
        <v>897.7</v>
      </c>
      <c r="D24">
        <v>1824.9</v>
      </c>
      <c r="E24">
        <v>2.0299999999999998</v>
      </c>
      <c r="F24">
        <v>332</v>
      </c>
      <c r="G24">
        <v>655.8</v>
      </c>
      <c r="H24">
        <v>1.98</v>
      </c>
      <c r="I24">
        <v>1229.7</v>
      </c>
      <c r="J24">
        <v>2480.6999999999998</v>
      </c>
      <c r="K24">
        <v>2.02</v>
      </c>
      <c r="L24" s="7">
        <v>45829</v>
      </c>
      <c r="M24" s="8">
        <v>60.28</v>
      </c>
    </row>
    <row r="25" spans="1:13" ht="16.2" thickBot="1" x14ac:dyDescent="0.35">
      <c r="A25">
        <v>2021</v>
      </c>
      <c r="B25" t="s">
        <v>17</v>
      </c>
      <c r="C25">
        <v>993.7</v>
      </c>
      <c r="D25">
        <v>1978.3</v>
      </c>
      <c r="E25">
        <v>1.99</v>
      </c>
      <c r="F25">
        <v>354.5</v>
      </c>
      <c r="G25">
        <v>704.1</v>
      </c>
      <c r="H25">
        <v>1.99</v>
      </c>
      <c r="I25">
        <v>1348.2</v>
      </c>
      <c r="J25">
        <v>2682.3</v>
      </c>
      <c r="K25">
        <v>1.99</v>
      </c>
      <c r="L25" s="7">
        <v>45859</v>
      </c>
      <c r="M25" s="8">
        <v>64.06</v>
      </c>
    </row>
    <row r="26" spans="1:13" ht="16.2" thickBot="1" x14ac:dyDescent="0.35">
      <c r="A26">
        <v>2021</v>
      </c>
      <c r="B26" t="s">
        <v>18</v>
      </c>
      <c r="C26">
        <v>965.2</v>
      </c>
      <c r="D26">
        <v>1907.9</v>
      </c>
      <c r="E26">
        <v>1.98</v>
      </c>
      <c r="F26">
        <v>357.7</v>
      </c>
      <c r="G26">
        <v>701.9</v>
      </c>
      <c r="H26">
        <v>1.96</v>
      </c>
      <c r="I26">
        <v>1322.9</v>
      </c>
      <c r="J26">
        <v>2609.8000000000002</v>
      </c>
      <c r="K26">
        <v>1.97</v>
      </c>
      <c r="L26" s="7">
        <v>45890</v>
      </c>
      <c r="M26" s="8">
        <v>62.27</v>
      </c>
    </row>
    <row r="27" spans="1:13" ht="16.2" thickBot="1" x14ac:dyDescent="0.35">
      <c r="A27">
        <v>2021</v>
      </c>
      <c r="B27" t="s">
        <v>19</v>
      </c>
      <c r="C27">
        <v>884.3</v>
      </c>
      <c r="D27">
        <v>1773.3</v>
      </c>
      <c r="E27">
        <v>2.0099999999999998</v>
      </c>
      <c r="F27">
        <v>338.8</v>
      </c>
      <c r="G27">
        <v>659.3</v>
      </c>
      <c r="H27">
        <v>1.95</v>
      </c>
      <c r="I27">
        <v>1223.0999999999999</v>
      </c>
      <c r="J27">
        <v>2432.6</v>
      </c>
      <c r="K27">
        <v>1.99</v>
      </c>
      <c r="L27" s="7">
        <v>45921</v>
      </c>
      <c r="M27" s="8">
        <v>62.33</v>
      </c>
    </row>
    <row r="28" spans="1:13" ht="16.2" thickBot="1" x14ac:dyDescent="0.35">
      <c r="A28">
        <v>2021</v>
      </c>
      <c r="B28" t="s">
        <v>20</v>
      </c>
      <c r="C28">
        <v>927.8</v>
      </c>
      <c r="D28">
        <v>2078</v>
      </c>
      <c r="E28">
        <v>2.2400000000000002</v>
      </c>
      <c r="F28">
        <v>348.9</v>
      </c>
      <c r="G28">
        <v>771.8</v>
      </c>
      <c r="H28">
        <v>2.21</v>
      </c>
      <c r="I28">
        <v>1276.7</v>
      </c>
      <c r="J28">
        <v>2849.9</v>
      </c>
      <c r="K28">
        <v>2.23</v>
      </c>
      <c r="L28" s="7">
        <v>45951</v>
      </c>
      <c r="M28" s="8">
        <v>64.48</v>
      </c>
    </row>
    <row r="29" spans="1:13" ht="16.2" thickBot="1" x14ac:dyDescent="0.35">
      <c r="A29">
        <v>2021</v>
      </c>
      <c r="B29" t="s">
        <v>21</v>
      </c>
      <c r="C29">
        <v>915.1</v>
      </c>
      <c r="D29">
        <v>2109.4</v>
      </c>
      <c r="E29">
        <v>2.31</v>
      </c>
      <c r="F29">
        <v>339.6</v>
      </c>
      <c r="G29">
        <v>789.7</v>
      </c>
      <c r="H29">
        <v>2.33</v>
      </c>
      <c r="I29">
        <v>1254.7</v>
      </c>
      <c r="J29">
        <v>2899.1</v>
      </c>
      <c r="K29">
        <v>2.31</v>
      </c>
      <c r="L29" s="7">
        <v>45982</v>
      </c>
      <c r="M29" s="8">
        <v>69.36</v>
      </c>
    </row>
    <row r="30" spans="1:13" ht="16.2" thickBot="1" x14ac:dyDescent="0.35">
      <c r="A30">
        <v>2021</v>
      </c>
      <c r="B30" t="s">
        <v>22</v>
      </c>
      <c r="C30">
        <v>976.5</v>
      </c>
      <c r="D30">
        <v>2085</v>
      </c>
      <c r="E30">
        <v>2.14</v>
      </c>
      <c r="F30">
        <v>371.6</v>
      </c>
      <c r="G30">
        <v>793.2</v>
      </c>
      <c r="H30">
        <v>2.13</v>
      </c>
      <c r="I30">
        <v>1348.1</v>
      </c>
      <c r="J30">
        <v>2878.2</v>
      </c>
      <c r="K30">
        <v>2.14</v>
      </c>
      <c r="L30" s="7">
        <v>46012</v>
      </c>
      <c r="M30" s="8">
        <v>68.73</v>
      </c>
    </row>
    <row r="31" spans="1:13" x14ac:dyDescent="0.3">
      <c r="A31" t="s">
        <v>64</v>
      </c>
      <c r="C31">
        <v>9937.7999999999993</v>
      </c>
      <c r="D31">
        <v>19751.5</v>
      </c>
      <c r="E31">
        <v>1.99</v>
      </c>
      <c r="F31">
        <v>3847.6</v>
      </c>
      <c r="G31">
        <v>7488.3</v>
      </c>
      <c r="H31">
        <v>1.95</v>
      </c>
      <c r="I31">
        <v>13785.4</v>
      </c>
      <c r="J31">
        <v>27239.8</v>
      </c>
      <c r="K31">
        <v>1.98</v>
      </c>
    </row>
    <row r="32" spans="1:13" ht="15" thickBot="1" x14ac:dyDescent="0.35">
      <c r="A32" t="s">
        <v>65</v>
      </c>
      <c r="C32">
        <v>0.374</v>
      </c>
      <c r="D32">
        <v>0.90529999999999999</v>
      </c>
      <c r="E32">
        <v>0.38669999999999999</v>
      </c>
      <c r="F32">
        <v>0.26290000000000002</v>
      </c>
      <c r="G32">
        <v>0.73309999999999997</v>
      </c>
      <c r="H32">
        <v>0.37230000000000002</v>
      </c>
      <c r="I32">
        <v>0.34110000000000001</v>
      </c>
      <c r="J32">
        <v>0.85460000000000003</v>
      </c>
      <c r="K32">
        <v>0.38300000000000001</v>
      </c>
    </row>
    <row r="33" spans="1:13" ht="16.2" thickBot="1" x14ac:dyDescent="0.35">
      <c r="A33">
        <v>2022</v>
      </c>
      <c r="B33" t="s">
        <v>11</v>
      </c>
      <c r="C33">
        <v>848.5</v>
      </c>
      <c r="D33">
        <v>2003.4</v>
      </c>
      <c r="E33">
        <v>2.36</v>
      </c>
      <c r="F33">
        <v>359.2</v>
      </c>
      <c r="G33">
        <v>843.2</v>
      </c>
      <c r="H33">
        <v>2.35</v>
      </c>
      <c r="I33">
        <v>1207.5999999999999</v>
      </c>
      <c r="J33">
        <v>2846.5</v>
      </c>
      <c r="K33">
        <v>2.36</v>
      </c>
      <c r="L33" s="7">
        <v>45679</v>
      </c>
      <c r="M33" s="8">
        <v>60.96</v>
      </c>
    </row>
    <row r="34" spans="1:13" ht="16.2" thickBot="1" x14ac:dyDescent="0.35">
      <c r="A34">
        <v>2022</v>
      </c>
      <c r="B34" t="s">
        <v>12</v>
      </c>
      <c r="C34">
        <v>820</v>
      </c>
      <c r="D34">
        <v>2123.6999999999998</v>
      </c>
      <c r="E34">
        <v>2.59</v>
      </c>
      <c r="F34">
        <v>324.2</v>
      </c>
      <c r="G34">
        <v>856.2</v>
      </c>
      <c r="H34">
        <v>2.64</v>
      </c>
      <c r="I34">
        <v>1144.2</v>
      </c>
      <c r="J34">
        <v>2979.9</v>
      </c>
      <c r="K34">
        <v>2.6</v>
      </c>
      <c r="L34" s="7">
        <v>45710</v>
      </c>
      <c r="M34" s="8">
        <v>67.12</v>
      </c>
    </row>
    <row r="35" spans="1:13" ht="16.2" thickBot="1" x14ac:dyDescent="0.35">
      <c r="A35">
        <v>2022</v>
      </c>
      <c r="B35" t="s">
        <v>13</v>
      </c>
      <c r="C35">
        <v>980.7</v>
      </c>
      <c r="D35">
        <v>2971.3</v>
      </c>
      <c r="E35">
        <v>3.03</v>
      </c>
      <c r="F35">
        <v>395.5</v>
      </c>
      <c r="G35">
        <v>1211.3</v>
      </c>
      <c r="H35">
        <v>3.06</v>
      </c>
      <c r="I35">
        <v>1376.2</v>
      </c>
      <c r="J35">
        <v>4182.5</v>
      </c>
      <c r="K35">
        <v>3.04</v>
      </c>
      <c r="L35" s="7">
        <v>45738</v>
      </c>
      <c r="M35" s="8">
        <v>69.349999999999994</v>
      </c>
    </row>
    <row r="36" spans="1:13" ht="16.2" thickBot="1" x14ac:dyDescent="0.35">
      <c r="A36">
        <v>2022</v>
      </c>
      <c r="B36" t="s">
        <v>14</v>
      </c>
      <c r="C36">
        <v>933.7</v>
      </c>
      <c r="D36">
        <v>3341.8</v>
      </c>
      <c r="E36">
        <v>3.58</v>
      </c>
      <c r="F36">
        <v>411.5</v>
      </c>
      <c r="G36">
        <v>1481.2</v>
      </c>
      <c r="H36">
        <v>3.6</v>
      </c>
      <c r="I36">
        <v>1345.2</v>
      </c>
      <c r="J36">
        <v>4822.8999999999996</v>
      </c>
      <c r="K36">
        <v>3.59</v>
      </c>
      <c r="L36" s="7">
        <v>45769</v>
      </c>
      <c r="M36" s="8">
        <v>71.78</v>
      </c>
    </row>
    <row r="37" spans="1:13" ht="16.2" thickBot="1" x14ac:dyDescent="0.35">
      <c r="A37">
        <v>2022</v>
      </c>
      <c r="B37" t="s">
        <v>15</v>
      </c>
      <c r="C37">
        <v>962.3</v>
      </c>
      <c r="D37">
        <v>3756.1</v>
      </c>
      <c r="E37">
        <v>3.9</v>
      </c>
      <c r="F37">
        <v>451.7</v>
      </c>
      <c r="G37">
        <v>1753.5</v>
      </c>
      <c r="H37">
        <v>3.88</v>
      </c>
      <c r="I37">
        <v>1414</v>
      </c>
      <c r="J37">
        <v>5509.5</v>
      </c>
      <c r="K37">
        <v>3.9</v>
      </c>
      <c r="L37" s="7">
        <v>45799</v>
      </c>
      <c r="M37" s="8">
        <v>70.77</v>
      </c>
    </row>
    <row r="38" spans="1:13" ht="16.2" thickBot="1" x14ac:dyDescent="0.35">
      <c r="A38">
        <v>2022</v>
      </c>
      <c r="B38" t="s">
        <v>16</v>
      </c>
      <c r="C38">
        <v>968.6</v>
      </c>
      <c r="D38">
        <v>3902.8</v>
      </c>
      <c r="E38">
        <v>4.03</v>
      </c>
      <c r="F38">
        <v>474.1</v>
      </c>
      <c r="G38">
        <v>1931</v>
      </c>
      <c r="H38">
        <v>4.07</v>
      </c>
      <c r="I38">
        <v>1442.7</v>
      </c>
      <c r="J38">
        <v>5833.8</v>
      </c>
      <c r="K38">
        <v>4.04</v>
      </c>
      <c r="L38" s="7">
        <v>45830</v>
      </c>
      <c r="M38" s="8">
        <v>70.16</v>
      </c>
    </row>
    <row r="39" spans="1:13" ht="16.2" thickBot="1" x14ac:dyDescent="0.35">
      <c r="A39">
        <v>2022</v>
      </c>
      <c r="B39" t="s">
        <v>17</v>
      </c>
      <c r="C39">
        <v>1022.4</v>
      </c>
      <c r="D39">
        <v>3759.2</v>
      </c>
      <c r="E39">
        <v>3.68</v>
      </c>
      <c r="F39">
        <v>497.8</v>
      </c>
      <c r="G39">
        <v>1877.1</v>
      </c>
      <c r="H39">
        <v>3.77</v>
      </c>
      <c r="I39">
        <v>1520.2</v>
      </c>
      <c r="J39">
        <v>5636.3</v>
      </c>
      <c r="K39">
        <v>3.71</v>
      </c>
      <c r="L39" s="7">
        <v>45860</v>
      </c>
      <c r="M39" s="8">
        <v>69.63</v>
      </c>
    </row>
    <row r="40" spans="1:13" ht="16.2" thickBot="1" x14ac:dyDescent="0.35">
      <c r="A40">
        <v>2022</v>
      </c>
      <c r="B40" t="s">
        <v>18</v>
      </c>
      <c r="C40">
        <v>1007.3</v>
      </c>
      <c r="D40">
        <v>3478.4</v>
      </c>
      <c r="E40">
        <v>3.45</v>
      </c>
      <c r="F40">
        <v>496.5</v>
      </c>
      <c r="G40">
        <v>1744.5</v>
      </c>
      <c r="H40">
        <v>3.51</v>
      </c>
      <c r="I40">
        <v>1503.8</v>
      </c>
      <c r="J40">
        <v>5222.8</v>
      </c>
      <c r="K40">
        <v>3.47</v>
      </c>
      <c r="L40" s="7">
        <v>45891</v>
      </c>
      <c r="M40" s="8">
        <v>71.11</v>
      </c>
    </row>
    <row r="41" spans="1:13" ht="16.2" thickBot="1" x14ac:dyDescent="0.35">
      <c r="A41">
        <v>2022</v>
      </c>
      <c r="B41" t="s">
        <v>19</v>
      </c>
      <c r="C41">
        <v>946.1</v>
      </c>
      <c r="D41">
        <v>3304.2</v>
      </c>
      <c r="E41">
        <v>3.49</v>
      </c>
      <c r="F41">
        <v>455</v>
      </c>
      <c r="G41">
        <v>1581.4</v>
      </c>
      <c r="H41">
        <v>3.48</v>
      </c>
      <c r="I41">
        <v>1401.1</v>
      </c>
      <c r="J41">
        <v>4885.6000000000004</v>
      </c>
      <c r="K41">
        <v>3.49</v>
      </c>
      <c r="L41" s="7">
        <v>45922</v>
      </c>
      <c r="M41" s="8">
        <v>74.92</v>
      </c>
    </row>
    <row r="42" spans="1:13" ht="16.2" thickBot="1" x14ac:dyDescent="0.35">
      <c r="A42">
        <v>2022</v>
      </c>
      <c r="B42" t="s">
        <v>20</v>
      </c>
      <c r="C42">
        <v>979.8</v>
      </c>
      <c r="D42">
        <v>3412.4</v>
      </c>
      <c r="E42">
        <v>3.48</v>
      </c>
      <c r="F42">
        <v>453.7</v>
      </c>
      <c r="G42">
        <v>1533.4</v>
      </c>
      <c r="H42">
        <v>3.38</v>
      </c>
      <c r="I42">
        <v>1433.5</v>
      </c>
      <c r="J42">
        <v>4945.8</v>
      </c>
      <c r="K42">
        <v>3.45</v>
      </c>
      <c r="L42" s="7">
        <v>45952</v>
      </c>
      <c r="M42" s="8">
        <v>75.94</v>
      </c>
    </row>
    <row r="43" spans="1:13" ht="16.2" thickBot="1" x14ac:dyDescent="0.35">
      <c r="A43">
        <v>2022</v>
      </c>
      <c r="B43" t="s">
        <v>21</v>
      </c>
      <c r="C43">
        <v>965.8</v>
      </c>
      <c r="D43">
        <v>3216.7</v>
      </c>
      <c r="E43">
        <v>3.33</v>
      </c>
      <c r="F43">
        <v>431.8</v>
      </c>
      <c r="G43">
        <v>1420.7</v>
      </c>
      <c r="H43">
        <v>3.29</v>
      </c>
      <c r="I43">
        <v>1397.6</v>
      </c>
      <c r="J43">
        <v>4637.3999999999996</v>
      </c>
      <c r="K43">
        <v>3.32</v>
      </c>
      <c r="L43" s="7">
        <v>45983</v>
      </c>
      <c r="M43" s="8">
        <v>76</v>
      </c>
    </row>
    <row r="44" spans="1:13" ht="16.2" thickBot="1" x14ac:dyDescent="0.35">
      <c r="A44">
        <v>2022</v>
      </c>
      <c r="B44" t="s">
        <v>22</v>
      </c>
      <c r="C44">
        <v>1006.1</v>
      </c>
      <c r="D44">
        <v>3158.1</v>
      </c>
      <c r="E44">
        <v>3.14</v>
      </c>
      <c r="F44">
        <v>465.3</v>
      </c>
      <c r="G44">
        <v>1467.4</v>
      </c>
      <c r="H44">
        <v>3.15</v>
      </c>
      <c r="I44">
        <v>1471.3</v>
      </c>
      <c r="J44">
        <v>4625.5</v>
      </c>
      <c r="K44">
        <v>3.14</v>
      </c>
      <c r="L44" s="7">
        <v>46013</v>
      </c>
      <c r="M44" s="8">
        <v>74.95</v>
      </c>
    </row>
    <row r="45" spans="1:13" x14ac:dyDescent="0.3">
      <c r="A45" t="s">
        <v>66</v>
      </c>
      <c r="C45">
        <v>11441.3</v>
      </c>
      <c r="D45">
        <v>38427.9</v>
      </c>
      <c r="E45">
        <v>3.36</v>
      </c>
      <c r="F45">
        <v>5216.2</v>
      </c>
      <c r="G45">
        <v>17700.8</v>
      </c>
      <c r="H45">
        <v>3.39</v>
      </c>
      <c r="I45">
        <v>16657.5</v>
      </c>
      <c r="J45">
        <v>56128.7</v>
      </c>
      <c r="K45">
        <v>3.37</v>
      </c>
    </row>
    <row r="46" spans="1:13" x14ac:dyDescent="0.3">
      <c r="A46" t="s">
        <v>67</v>
      </c>
      <c r="C46">
        <v>0.15129999999999999</v>
      </c>
      <c r="D46">
        <v>0.9456</v>
      </c>
      <c r="E46">
        <v>0.68989999999999996</v>
      </c>
      <c r="F46">
        <v>0.35570000000000002</v>
      </c>
      <c r="G46">
        <v>1.3637999999999999</v>
      </c>
      <c r="H46">
        <v>0.74360000000000004</v>
      </c>
      <c r="I46">
        <v>0.20830000000000001</v>
      </c>
      <c r="J46">
        <v>1.0605</v>
      </c>
      <c r="K46">
        <v>0.70530000000000004</v>
      </c>
    </row>
    <row r="47" spans="1:13" x14ac:dyDescent="0.3">
      <c r="A47">
        <v>2023</v>
      </c>
      <c r="B47" t="s">
        <v>11</v>
      </c>
      <c r="C47">
        <v>972.4</v>
      </c>
      <c r="D47">
        <v>3213</v>
      </c>
      <c r="E47">
        <v>3.3</v>
      </c>
      <c r="F47">
        <v>441.9</v>
      </c>
      <c r="G47">
        <v>1400.1</v>
      </c>
      <c r="H47">
        <v>3.17</v>
      </c>
      <c r="I47">
        <v>1414.3</v>
      </c>
      <c r="J47">
        <v>4613.1000000000004</v>
      </c>
      <c r="K47">
        <v>3.26</v>
      </c>
    </row>
    <row r="48" spans="1:13" x14ac:dyDescent="0.3">
      <c r="A48">
        <v>2023</v>
      </c>
      <c r="B48" t="s">
        <v>12</v>
      </c>
      <c r="C48">
        <v>905.6</v>
      </c>
      <c r="D48">
        <v>2945.1</v>
      </c>
      <c r="E48">
        <v>3.25</v>
      </c>
      <c r="F48">
        <v>400.1</v>
      </c>
      <c r="G48">
        <v>1265.3</v>
      </c>
      <c r="H48">
        <v>3.16</v>
      </c>
      <c r="I48">
        <v>1305.7</v>
      </c>
      <c r="J48">
        <v>4210.5</v>
      </c>
      <c r="K48">
        <v>3.22</v>
      </c>
    </row>
    <row r="49" spans="1:11" x14ac:dyDescent="0.3">
      <c r="A49">
        <v>2023</v>
      </c>
      <c r="B49" t="s">
        <v>13</v>
      </c>
      <c r="C49">
        <v>1065</v>
      </c>
      <c r="D49">
        <v>3120.6</v>
      </c>
      <c r="E49">
        <v>2.93</v>
      </c>
      <c r="F49">
        <v>480.2</v>
      </c>
      <c r="G49">
        <v>1383.5</v>
      </c>
      <c r="H49">
        <v>2.88</v>
      </c>
      <c r="I49">
        <v>1545.2</v>
      </c>
      <c r="J49">
        <v>4504.1000000000004</v>
      </c>
      <c r="K49">
        <v>2.91</v>
      </c>
    </row>
    <row r="50" spans="1:11" x14ac:dyDescent="0.3">
      <c r="A50">
        <v>2023</v>
      </c>
      <c r="B50" t="s">
        <v>14</v>
      </c>
      <c r="C50">
        <v>997.2</v>
      </c>
      <c r="D50">
        <v>2654.2</v>
      </c>
      <c r="E50">
        <v>2.66</v>
      </c>
      <c r="F50">
        <v>487.1</v>
      </c>
      <c r="G50">
        <v>1290.2</v>
      </c>
      <c r="H50">
        <v>2.65</v>
      </c>
      <c r="I50">
        <v>1484.3</v>
      </c>
      <c r="J50">
        <v>3944.5</v>
      </c>
      <c r="K50">
        <v>2.66</v>
      </c>
    </row>
    <row r="51" spans="1:11" x14ac:dyDescent="0.3">
      <c r="A51">
        <v>2023</v>
      </c>
      <c r="B51" t="s">
        <v>15</v>
      </c>
      <c r="C51">
        <v>1042.2</v>
      </c>
      <c r="D51">
        <v>2550.1</v>
      </c>
      <c r="E51">
        <v>2.4500000000000002</v>
      </c>
      <c r="F51">
        <v>525.6</v>
      </c>
      <c r="G51">
        <v>1278.8</v>
      </c>
      <c r="H51">
        <v>2.4300000000000002</v>
      </c>
      <c r="I51">
        <v>1567.8</v>
      </c>
      <c r="J51">
        <v>3828.9</v>
      </c>
      <c r="K51">
        <v>2.44</v>
      </c>
    </row>
    <row r="52" spans="1:11" x14ac:dyDescent="0.3">
      <c r="A52">
        <v>2023</v>
      </c>
      <c r="B52" t="s">
        <v>16</v>
      </c>
      <c r="C52">
        <v>1058.5999999999999</v>
      </c>
      <c r="D52">
        <v>2582</v>
      </c>
      <c r="E52">
        <v>2.44</v>
      </c>
      <c r="F52">
        <v>540.29999999999995</v>
      </c>
      <c r="G52">
        <v>1294.5999999999999</v>
      </c>
      <c r="H52">
        <v>2.4</v>
      </c>
      <c r="I52">
        <v>1598.9</v>
      </c>
      <c r="J52">
        <v>3876.5</v>
      </c>
      <c r="K52">
        <v>2.42</v>
      </c>
    </row>
    <row r="53" spans="1:11" x14ac:dyDescent="0.3">
      <c r="A53">
        <v>2023</v>
      </c>
      <c r="B53" t="s">
        <v>17</v>
      </c>
      <c r="C53">
        <v>1108.5999999999999</v>
      </c>
      <c r="D53">
        <v>2768.6</v>
      </c>
      <c r="E53">
        <v>2.5</v>
      </c>
      <c r="F53">
        <v>570.4</v>
      </c>
      <c r="G53">
        <v>1394.1</v>
      </c>
      <c r="H53">
        <v>2.44</v>
      </c>
      <c r="I53">
        <v>1679</v>
      </c>
      <c r="J53">
        <v>4162.8</v>
      </c>
      <c r="K53">
        <v>2.48</v>
      </c>
    </row>
    <row r="54" spans="1:11" x14ac:dyDescent="0.3">
      <c r="A54">
        <v>2023</v>
      </c>
      <c r="B54" t="s">
        <v>18</v>
      </c>
      <c r="C54">
        <v>1107.3</v>
      </c>
      <c r="D54">
        <v>3146.3</v>
      </c>
      <c r="E54">
        <v>2.84</v>
      </c>
      <c r="F54">
        <v>567.29999999999995</v>
      </c>
      <c r="G54">
        <v>1578.9</v>
      </c>
      <c r="H54">
        <v>2.78</v>
      </c>
      <c r="I54">
        <v>1674.6</v>
      </c>
      <c r="J54">
        <v>4725.2</v>
      </c>
      <c r="K54">
        <v>2.82</v>
      </c>
    </row>
    <row r="55" spans="1:11" x14ac:dyDescent="0.3">
      <c r="A55">
        <v>2023</v>
      </c>
      <c r="B55" t="s">
        <v>19</v>
      </c>
      <c r="C55">
        <v>1004.7</v>
      </c>
      <c r="D55">
        <v>3172.2</v>
      </c>
      <c r="E55">
        <v>3.16</v>
      </c>
      <c r="F55">
        <v>515</v>
      </c>
      <c r="G55">
        <v>1605.1</v>
      </c>
      <c r="H55">
        <v>3.12</v>
      </c>
      <c r="I55">
        <v>1519.7</v>
      </c>
      <c r="J55">
        <v>4777.3</v>
      </c>
      <c r="K55">
        <v>3.14</v>
      </c>
    </row>
    <row r="56" spans="1:11" x14ac:dyDescent="0.3">
      <c r="A56">
        <v>2023</v>
      </c>
      <c r="B56" t="s">
        <v>20</v>
      </c>
      <c r="C56">
        <v>1073</v>
      </c>
      <c r="D56">
        <v>3348.3</v>
      </c>
      <c r="E56">
        <v>3.12</v>
      </c>
      <c r="F56">
        <v>516.29999999999995</v>
      </c>
      <c r="G56">
        <v>1606.8</v>
      </c>
      <c r="H56">
        <v>3.11</v>
      </c>
      <c r="I56">
        <v>1589.3</v>
      </c>
      <c r="J56">
        <v>4955.1000000000004</v>
      </c>
      <c r="K56">
        <v>3.12</v>
      </c>
    </row>
    <row r="57" spans="1:11" x14ac:dyDescent="0.3">
      <c r="A57">
        <v>2023</v>
      </c>
      <c r="B57" t="s">
        <v>21</v>
      </c>
      <c r="C57">
        <v>1017.6</v>
      </c>
      <c r="D57">
        <v>3069.9</v>
      </c>
      <c r="E57">
        <v>3.02</v>
      </c>
      <c r="F57">
        <v>486.2</v>
      </c>
      <c r="G57">
        <v>1458.9</v>
      </c>
      <c r="H57">
        <v>3</v>
      </c>
      <c r="I57">
        <v>1503.8</v>
      </c>
      <c r="J57">
        <v>4528.8</v>
      </c>
      <c r="K57">
        <v>3.01</v>
      </c>
    </row>
    <row r="58" spans="1:11" x14ac:dyDescent="0.3">
      <c r="A58">
        <v>2023</v>
      </c>
      <c r="B58" t="s">
        <v>22</v>
      </c>
      <c r="C58">
        <v>1058.5</v>
      </c>
      <c r="D58">
        <v>2957.2</v>
      </c>
      <c r="E58">
        <v>2.79</v>
      </c>
      <c r="F58">
        <v>525.70000000000005</v>
      </c>
      <c r="G58">
        <v>1471.3</v>
      </c>
      <c r="H58">
        <v>2.8</v>
      </c>
      <c r="I58">
        <v>1584.2</v>
      </c>
      <c r="J58">
        <v>4428.5</v>
      </c>
      <c r="K58">
        <v>2.8</v>
      </c>
    </row>
    <row r="59" spans="1:11" x14ac:dyDescent="0.3">
      <c r="A59" t="s">
        <v>68</v>
      </c>
      <c r="C59">
        <v>12410.5</v>
      </c>
      <c r="D59">
        <v>35527.4</v>
      </c>
      <c r="E59">
        <v>2.86</v>
      </c>
      <c r="F59">
        <v>6056.2</v>
      </c>
      <c r="G59">
        <v>17027.7</v>
      </c>
      <c r="H59">
        <v>2.81</v>
      </c>
      <c r="I59">
        <v>18466.7</v>
      </c>
      <c r="J59">
        <v>52555.1</v>
      </c>
      <c r="K59">
        <v>2.85</v>
      </c>
    </row>
    <row r="60" spans="1:11" x14ac:dyDescent="0.3">
      <c r="A60" t="s">
        <v>69</v>
      </c>
      <c r="C60">
        <v>8.4699999999999998E-2</v>
      </c>
      <c r="D60">
        <v>-7.5499999999999998E-2</v>
      </c>
      <c r="E60">
        <v>-0.1477</v>
      </c>
      <c r="F60">
        <v>0.161</v>
      </c>
      <c r="G60">
        <v>-3.7999999999999999E-2</v>
      </c>
      <c r="H60">
        <v>-0.17150000000000001</v>
      </c>
      <c r="I60">
        <v>0.1086</v>
      </c>
      <c r="J60">
        <v>-6.3700000000000007E-2</v>
      </c>
      <c r="K60">
        <v>-0.15540000000000001</v>
      </c>
    </row>
    <row r="61" spans="1:11" x14ac:dyDescent="0.3">
      <c r="A61">
        <v>2024</v>
      </c>
      <c r="B61" t="s">
        <v>11</v>
      </c>
      <c r="C61">
        <v>957.5</v>
      </c>
      <c r="D61">
        <v>2594.6999999999998</v>
      </c>
      <c r="E61">
        <v>2.71</v>
      </c>
      <c r="F61">
        <v>500.5</v>
      </c>
      <c r="G61">
        <v>1344.4</v>
      </c>
      <c r="H61">
        <v>2.69</v>
      </c>
      <c r="I61">
        <v>1458</v>
      </c>
      <c r="J61">
        <v>3939</v>
      </c>
      <c r="K61">
        <v>2.7</v>
      </c>
    </row>
    <row r="62" spans="1:11" x14ac:dyDescent="0.3">
      <c r="A62">
        <v>2024</v>
      </c>
      <c r="B62" t="s">
        <v>12</v>
      </c>
      <c r="C62">
        <v>933.7</v>
      </c>
      <c r="D62">
        <v>2663.9</v>
      </c>
      <c r="E62">
        <v>2.85</v>
      </c>
      <c r="F62">
        <v>458.4</v>
      </c>
      <c r="G62">
        <v>1279.0999999999999</v>
      </c>
      <c r="H62">
        <v>2.79</v>
      </c>
      <c r="I62">
        <v>1392</v>
      </c>
      <c r="J62">
        <v>3943</v>
      </c>
      <c r="K62">
        <v>2.83</v>
      </c>
    </row>
    <row r="63" spans="1:11" x14ac:dyDescent="0.3">
      <c r="A63">
        <v>2024</v>
      </c>
      <c r="B63" t="s">
        <v>13</v>
      </c>
      <c r="C63">
        <v>1071.2</v>
      </c>
      <c r="D63">
        <v>2975.7</v>
      </c>
      <c r="E63">
        <v>2.78</v>
      </c>
      <c r="F63">
        <v>530.29999999999995</v>
      </c>
      <c r="G63">
        <v>1459.8</v>
      </c>
      <c r="H63">
        <v>2.75</v>
      </c>
      <c r="I63">
        <v>1601.5</v>
      </c>
      <c r="J63">
        <v>4435.6000000000004</v>
      </c>
      <c r="K63">
        <v>2.77</v>
      </c>
    </row>
    <row r="64" spans="1:11" x14ac:dyDescent="0.3">
      <c r="A64">
        <v>2024</v>
      </c>
      <c r="B64" t="s">
        <v>14</v>
      </c>
      <c r="C64">
        <v>1042.7</v>
      </c>
      <c r="D64">
        <v>2880</v>
      </c>
      <c r="E64">
        <v>2.76</v>
      </c>
      <c r="F64">
        <v>522.70000000000005</v>
      </c>
      <c r="G64">
        <v>1430.6</v>
      </c>
      <c r="H64">
        <v>2.74</v>
      </c>
      <c r="I64">
        <v>1565.4</v>
      </c>
      <c r="J64">
        <v>4310.6000000000004</v>
      </c>
      <c r="K64">
        <v>2.75</v>
      </c>
    </row>
    <row r="65" spans="1:11" x14ac:dyDescent="0.3">
      <c r="A65">
        <v>2024</v>
      </c>
      <c r="B65" t="s">
        <v>15</v>
      </c>
      <c r="C65">
        <v>1088.7</v>
      </c>
      <c r="D65">
        <v>2882.7</v>
      </c>
      <c r="E65">
        <v>2.65</v>
      </c>
      <c r="F65">
        <v>556.1</v>
      </c>
      <c r="G65">
        <v>1473.9</v>
      </c>
      <c r="H65">
        <v>2.65</v>
      </c>
      <c r="I65">
        <v>1644.8</v>
      </c>
      <c r="J65">
        <v>4356.6000000000004</v>
      </c>
      <c r="K65">
        <v>2.65</v>
      </c>
    </row>
    <row r="66" spans="1:11" x14ac:dyDescent="0.3">
      <c r="A66">
        <v>2024</v>
      </c>
      <c r="B66" t="s">
        <v>16</v>
      </c>
      <c r="C66">
        <v>1102.9000000000001</v>
      </c>
      <c r="D66">
        <v>2798.6</v>
      </c>
      <c r="E66">
        <v>2.54</v>
      </c>
      <c r="F66">
        <v>578.79999999999995</v>
      </c>
      <c r="G66">
        <v>1472.5</v>
      </c>
      <c r="H66">
        <v>2.54</v>
      </c>
      <c r="I66">
        <v>1681.7</v>
      </c>
      <c r="J66">
        <v>4271.1000000000004</v>
      </c>
      <c r="K66">
        <v>2.54</v>
      </c>
    </row>
    <row r="67" spans="1:11" x14ac:dyDescent="0.3">
      <c r="A67">
        <v>2024</v>
      </c>
      <c r="B67" t="s">
        <v>17</v>
      </c>
      <c r="C67">
        <v>1136.5</v>
      </c>
      <c r="D67">
        <v>2928.6</v>
      </c>
      <c r="E67">
        <v>2.58</v>
      </c>
      <c r="F67">
        <v>597</v>
      </c>
      <c r="G67">
        <v>1543.2</v>
      </c>
      <c r="H67">
        <v>2.58</v>
      </c>
      <c r="I67">
        <v>1733.5</v>
      </c>
      <c r="J67">
        <v>4471.8</v>
      </c>
      <c r="K67">
        <v>2.58</v>
      </c>
    </row>
    <row r="68" spans="1:11" x14ac:dyDescent="0.3">
      <c r="A68">
        <v>2024</v>
      </c>
      <c r="B68" t="s">
        <v>18</v>
      </c>
      <c r="C68">
        <v>1104</v>
      </c>
      <c r="D68">
        <v>2704.4</v>
      </c>
      <c r="E68">
        <v>2.4500000000000002</v>
      </c>
      <c r="F68">
        <v>579.4</v>
      </c>
      <c r="G68">
        <v>1453.8</v>
      </c>
      <c r="H68">
        <v>2.5099999999999998</v>
      </c>
      <c r="I68">
        <v>1683.5</v>
      </c>
      <c r="J68">
        <v>4158.3</v>
      </c>
      <c r="K68">
        <v>2.4700000000000002</v>
      </c>
    </row>
    <row r="69" spans="1:11" x14ac:dyDescent="0.3">
      <c r="A69">
        <v>2024</v>
      </c>
      <c r="B69" t="s">
        <v>19</v>
      </c>
      <c r="C69">
        <v>1008.8</v>
      </c>
      <c r="D69">
        <v>2328.5</v>
      </c>
      <c r="E69">
        <v>2.31</v>
      </c>
      <c r="F69">
        <v>522.5</v>
      </c>
      <c r="G69">
        <v>1234.2</v>
      </c>
      <c r="H69">
        <v>2.36</v>
      </c>
      <c r="I69">
        <v>1531.4</v>
      </c>
      <c r="J69">
        <v>3562.8</v>
      </c>
      <c r="K69">
        <v>2.33</v>
      </c>
    </row>
    <row r="70" spans="1:11" x14ac:dyDescent="0.3">
      <c r="A70">
        <v>2024</v>
      </c>
      <c r="B70" t="s">
        <v>20</v>
      </c>
      <c r="C70">
        <v>1047.9000000000001</v>
      </c>
      <c r="D70">
        <v>2392.5</v>
      </c>
      <c r="E70">
        <v>2.2799999999999998</v>
      </c>
      <c r="F70">
        <v>528.20000000000005</v>
      </c>
      <c r="G70">
        <v>1220.5999999999999</v>
      </c>
      <c r="H70">
        <v>2.31</v>
      </c>
      <c r="I70">
        <v>1576.1</v>
      </c>
      <c r="J70">
        <v>3613.1</v>
      </c>
      <c r="K70">
        <v>2.29</v>
      </c>
    </row>
    <row r="71" spans="1:11" x14ac:dyDescent="0.3">
      <c r="A71">
        <v>2024</v>
      </c>
      <c r="B71" t="s">
        <v>21</v>
      </c>
      <c r="C71">
        <v>1005.3</v>
      </c>
      <c r="D71">
        <v>2324.6</v>
      </c>
      <c r="E71">
        <v>2.31</v>
      </c>
      <c r="F71">
        <v>489.9</v>
      </c>
      <c r="G71">
        <v>1127.2</v>
      </c>
      <c r="H71">
        <v>2.2999999999999998</v>
      </c>
      <c r="I71">
        <v>1495.2</v>
      </c>
      <c r="J71">
        <v>3451.8</v>
      </c>
      <c r="K71">
        <v>2.31</v>
      </c>
    </row>
    <row r="72" spans="1:11" x14ac:dyDescent="0.3">
      <c r="A72">
        <v>2024</v>
      </c>
      <c r="B72" t="s">
        <v>22</v>
      </c>
      <c r="C72">
        <v>1063.5</v>
      </c>
      <c r="D72">
        <v>2467.8000000000002</v>
      </c>
      <c r="E72">
        <v>2.3199999999999998</v>
      </c>
      <c r="F72">
        <v>534.29999999999995</v>
      </c>
      <c r="G72">
        <v>1247.2</v>
      </c>
      <c r="H72">
        <v>2.33</v>
      </c>
      <c r="I72">
        <v>1597.8</v>
      </c>
      <c r="J72">
        <v>3715</v>
      </c>
      <c r="K72">
        <v>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ABEC-9CD4-47C9-81AE-AD1DD92129D5}">
  <dimension ref="A1:H44"/>
  <sheetViews>
    <sheetView tabSelected="1" workbookViewId="0">
      <selection activeCell="M20" sqref="M20"/>
    </sheetView>
  </sheetViews>
  <sheetFormatPr defaultRowHeight="14.4" x14ac:dyDescent="0.3"/>
  <cols>
    <col min="4" max="4" width="20" bestFit="1" customWidth="1"/>
    <col min="5" max="5" width="29" bestFit="1" customWidth="1"/>
    <col min="6" max="6" width="17" bestFit="1" customWidth="1"/>
    <col min="7" max="7" width="19.6640625" bestFit="1" customWidth="1"/>
  </cols>
  <sheetData>
    <row r="1" spans="1:8" x14ac:dyDescent="0.3">
      <c r="A1" s="11" t="s">
        <v>0</v>
      </c>
      <c r="B1" s="11" t="s">
        <v>1</v>
      </c>
      <c r="C1" s="11" t="s">
        <v>81</v>
      </c>
      <c r="D1" s="11" t="s">
        <v>83</v>
      </c>
      <c r="E1" s="11" t="s">
        <v>84</v>
      </c>
      <c r="F1" s="11" t="s">
        <v>87</v>
      </c>
      <c r="G1" s="11" t="s">
        <v>85</v>
      </c>
      <c r="H1" s="11" t="s">
        <v>86</v>
      </c>
    </row>
    <row r="2" spans="1:8" x14ac:dyDescent="0.3">
      <c r="A2">
        <v>2019</v>
      </c>
      <c r="B2" t="s">
        <v>22</v>
      </c>
      <c r="C2" t="s">
        <v>88</v>
      </c>
      <c r="D2">
        <v>79.47</v>
      </c>
      <c r="E2">
        <v>2</v>
      </c>
      <c r="F2">
        <v>1552.1</v>
      </c>
      <c r="G2">
        <v>2</v>
      </c>
    </row>
    <row r="3" spans="1:8" x14ac:dyDescent="0.3">
      <c r="B3" t="s">
        <v>60</v>
      </c>
      <c r="E3">
        <v>2</v>
      </c>
      <c r="F3">
        <v>18269</v>
      </c>
    </row>
    <row r="4" spans="1:8" x14ac:dyDescent="0.3">
      <c r="B4" t="s">
        <v>61</v>
      </c>
      <c r="E4">
        <v>-7.2900000000000006E-2</v>
      </c>
      <c r="F4">
        <v>2.24E-2</v>
      </c>
    </row>
    <row r="5" spans="1:8" x14ac:dyDescent="0.3">
      <c r="A5">
        <v>2020</v>
      </c>
      <c r="B5" t="s">
        <v>11</v>
      </c>
      <c r="C5" t="s">
        <v>89</v>
      </c>
      <c r="D5">
        <v>80.75</v>
      </c>
      <c r="E5">
        <v>1.98</v>
      </c>
      <c r="F5">
        <v>1460.9</v>
      </c>
      <c r="G5">
        <v>1.98</v>
      </c>
    </row>
    <row r="6" spans="1:8" x14ac:dyDescent="0.3">
      <c r="A6">
        <v>2020</v>
      </c>
      <c r="B6" t="s">
        <v>12</v>
      </c>
      <c r="C6" t="s">
        <v>90</v>
      </c>
      <c r="D6">
        <v>80.42</v>
      </c>
      <c r="E6">
        <v>1.81</v>
      </c>
      <c r="F6">
        <v>1329</v>
      </c>
      <c r="G6">
        <v>1.81</v>
      </c>
    </row>
    <row r="7" spans="1:8" x14ac:dyDescent="0.3">
      <c r="A7">
        <v>2020</v>
      </c>
      <c r="B7" t="s">
        <v>13</v>
      </c>
      <c r="C7" t="s">
        <v>91</v>
      </c>
      <c r="D7">
        <v>37.58</v>
      </c>
      <c r="E7">
        <v>1.48</v>
      </c>
      <c r="F7">
        <v>1168.4000000000001</v>
      </c>
      <c r="G7">
        <v>1.48</v>
      </c>
    </row>
    <row r="8" spans="1:8" x14ac:dyDescent="0.3">
      <c r="A8">
        <v>2020</v>
      </c>
      <c r="B8" t="s">
        <v>14</v>
      </c>
      <c r="C8" t="s">
        <v>92</v>
      </c>
      <c r="D8">
        <v>3.01</v>
      </c>
      <c r="E8">
        <v>1.38</v>
      </c>
      <c r="F8">
        <v>446.9</v>
      </c>
      <c r="G8">
        <v>1.38</v>
      </c>
    </row>
    <row r="9" spans="1:8" x14ac:dyDescent="0.3">
      <c r="A9">
        <v>2020</v>
      </c>
      <c r="B9" t="s">
        <v>15</v>
      </c>
      <c r="C9" t="s">
        <v>93</v>
      </c>
      <c r="D9">
        <v>7.56</v>
      </c>
      <c r="E9">
        <v>1.03</v>
      </c>
      <c r="F9">
        <v>453.4</v>
      </c>
      <c r="G9">
        <v>1.03</v>
      </c>
    </row>
    <row r="10" spans="1:8" x14ac:dyDescent="0.3">
      <c r="A10">
        <v>2020</v>
      </c>
      <c r="B10" t="s">
        <v>16</v>
      </c>
      <c r="C10" t="s">
        <v>94</v>
      </c>
      <c r="D10">
        <v>15.14</v>
      </c>
      <c r="E10">
        <v>1.08</v>
      </c>
      <c r="F10">
        <v>558</v>
      </c>
      <c r="G10">
        <v>1.08</v>
      </c>
    </row>
    <row r="11" spans="1:8" x14ac:dyDescent="0.3">
      <c r="A11">
        <v>2020</v>
      </c>
      <c r="B11" t="s">
        <v>17</v>
      </c>
      <c r="C11" t="s">
        <v>95</v>
      </c>
      <c r="D11">
        <v>20.76</v>
      </c>
      <c r="E11">
        <v>1.17</v>
      </c>
      <c r="F11">
        <v>763.1</v>
      </c>
      <c r="G11">
        <v>1.17</v>
      </c>
    </row>
    <row r="12" spans="1:8" x14ac:dyDescent="0.3">
      <c r="A12">
        <v>2020</v>
      </c>
      <c r="B12" t="s">
        <v>18</v>
      </c>
      <c r="C12" t="s">
        <v>96</v>
      </c>
      <c r="D12">
        <v>24.29</v>
      </c>
      <c r="E12">
        <v>1.21</v>
      </c>
      <c r="F12">
        <v>801.6</v>
      </c>
      <c r="G12">
        <v>1.21</v>
      </c>
    </row>
    <row r="13" spans="1:8" x14ac:dyDescent="0.3">
      <c r="A13">
        <v>2020</v>
      </c>
      <c r="B13" t="s">
        <v>19</v>
      </c>
      <c r="C13" t="s">
        <v>97</v>
      </c>
      <c r="D13">
        <v>26.85</v>
      </c>
      <c r="E13">
        <v>1.17</v>
      </c>
      <c r="F13">
        <v>727.9</v>
      </c>
      <c r="G13">
        <v>1.17</v>
      </c>
    </row>
    <row r="14" spans="1:8" x14ac:dyDescent="0.3">
      <c r="A14">
        <v>2020</v>
      </c>
      <c r="B14" t="s">
        <v>20</v>
      </c>
      <c r="C14" t="s">
        <v>98</v>
      </c>
      <c r="D14">
        <v>29.28</v>
      </c>
      <c r="E14">
        <v>1.1399999999999999</v>
      </c>
      <c r="F14">
        <v>807.4</v>
      </c>
      <c r="G14">
        <v>1.1399999999999999</v>
      </c>
    </row>
    <row r="15" spans="1:8" x14ac:dyDescent="0.3">
      <c r="A15">
        <v>2020</v>
      </c>
      <c r="B15" t="s">
        <v>21</v>
      </c>
      <c r="C15" t="s">
        <v>99</v>
      </c>
      <c r="D15">
        <v>30.24</v>
      </c>
      <c r="E15">
        <v>1.2</v>
      </c>
      <c r="F15">
        <v>844.6</v>
      </c>
      <c r="G15">
        <v>1.2</v>
      </c>
    </row>
    <row r="16" spans="1:8" x14ac:dyDescent="0.3">
      <c r="A16">
        <v>2020</v>
      </c>
      <c r="B16" t="s">
        <v>22</v>
      </c>
      <c r="C16" t="s">
        <v>100</v>
      </c>
      <c r="D16">
        <v>31.72</v>
      </c>
      <c r="E16">
        <v>1.45</v>
      </c>
      <c r="F16">
        <v>918.4</v>
      </c>
      <c r="G16">
        <v>1.45</v>
      </c>
    </row>
    <row r="17" spans="1:7" x14ac:dyDescent="0.3">
      <c r="B17" t="s">
        <v>62</v>
      </c>
      <c r="E17">
        <v>1.43</v>
      </c>
      <c r="F17">
        <v>10279.5</v>
      </c>
      <c r="G17">
        <v>1.43</v>
      </c>
    </row>
    <row r="18" spans="1:7" x14ac:dyDescent="0.3">
      <c r="A18">
        <v>2021</v>
      </c>
      <c r="B18" t="s">
        <v>11</v>
      </c>
      <c r="C18" t="s">
        <v>101</v>
      </c>
      <c r="D18">
        <v>31.67</v>
      </c>
      <c r="F18">
        <v>844.2</v>
      </c>
      <c r="G18">
        <v>1.51</v>
      </c>
    </row>
    <row r="19" spans="1:7" x14ac:dyDescent="0.3">
      <c r="A19">
        <v>2021</v>
      </c>
      <c r="B19" t="s">
        <v>12</v>
      </c>
      <c r="C19" t="s">
        <v>102</v>
      </c>
      <c r="D19">
        <v>32.479999999999997</v>
      </c>
      <c r="F19">
        <v>756.5</v>
      </c>
      <c r="G19">
        <v>1.6</v>
      </c>
    </row>
    <row r="20" spans="1:7" x14ac:dyDescent="0.3">
      <c r="A20">
        <v>2021</v>
      </c>
      <c r="B20" t="s">
        <v>13</v>
      </c>
      <c r="C20" t="s">
        <v>103</v>
      </c>
      <c r="D20">
        <v>41</v>
      </c>
      <c r="F20">
        <v>1003.3</v>
      </c>
      <c r="G20">
        <v>1.85</v>
      </c>
    </row>
    <row r="21" spans="1:7" x14ac:dyDescent="0.3">
      <c r="A21">
        <v>2021</v>
      </c>
      <c r="B21" t="s">
        <v>14</v>
      </c>
      <c r="C21" t="s">
        <v>104</v>
      </c>
      <c r="D21">
        <v>47.09</v>
      </c>
      <c r="F21">
        <v>1040</v>
      </c>
      <c r="G21">
        <v>1.75</v>
      </c>
    </row>
    <row r="22" spans="1:7" x14ac:dyDescent="0.3">
      <c r="A22">
        <v>2021</v>
      </c>
      <c r="B22" t="s">
        <v>15</v>
      </c>
      <c r="C22" t="s">
        <v>105</v>
      </c>
      <c r="D22">
        <v>54.58</v>
      </c>
      <c r="F22">
        <v>1138</v>
      </c>
      <c r="G22">
        <v>1.98</v>
      </c>
    </row>
    <row r="23" spans="1:7" ht="15" thickBot="1" x14ac:dyDescent="0.35">
      <c r="A23">
        <v>2021</v>
      </c>
      <c r="B23" t="s">
        <v>16</v>
      </c>
      <c r="C23" t="s">
        <v>106</v>
      </c>
      <c r="D23">
        <v>60.28</v>
      </c>
      <c r="F23">
        <v>1229.7</v>
      </c>
      <c r="G23">
        <v>2.02</v>
      </c>
    </row>
    <row r="24" spans="1:7" ht="16.2" thickBot="1" x14ac:dyDescent="0.35">
      <c r="C24" s="7"/>
      <c r="D24" s="8"/>
    </row>
    <row r="25" spans="1:7" ht="16.2" thickBot="1" x14ac:dyDescent="0.35">
      <c r="C25" s="7"/>
      <c r="D25" s="8"/>
    </row>
    <row r="26" spans="1:7" ht="16.2" thickBot="1" x14ac:dyDescent="0.35">
      <c r="C26" s="7"/>
      <c r="D26" s="8"/>
    </row>
    <row r="27" spans="1:7" ht="16.2" thickBot="1" x14ac:dyDescent="0.35">
      <c r="C27" s="7"/>
      <c r="D27" s="8"/>
    </row>
    <row r="28" spans="1:7" ht="16.2" thickBot="1" x14ac:dyDescent="0.35">
      <c r="C28" s="7"/>
      <c r="D28" s="8"/>
    </row>
    <row r="29" spans="1:7" ht="16.2" thickBot="1" x14ac:dyDescent="0.35">
      <c r="C29" s="7"/>
      <c r="D29" s="8"/>
    </row>
    <row r="30" spans="1:7" ht="16.2" thickBot="1" x14ac:dyDescent="0.35">
      <c r="C30" s="7"/>
      <c r="D30" s="8"/>
    </row>
    <row r="32" spans="1:7" ht="15" thickBot="1" x14ac:dyDescent="0.35"/>
    <row r="33" spans="3:4" ht="16.2" thickBot="1" x14ac:dyDescent="0.35">
      <c r="C33" s="7"/>
      <c r="D33" s="8"/>
    </row>
    <row r="34" spans="3:4" ht="16.2" thickBot="1" x14ac:dyDescent="0.35">
      <c r="C34" s="7"/>
      <c r="D34" s="8"/>
    </row>
    <row r="35" spans="3:4" ht="16.2" thickBot="1" x14ac:dyDescent="0.35">
      <c r="C35" s="7"/>
      <c r="D35" s="8"/>
    </row>
    <row r="36" spans="3:4" ht="16.2" thickBot="1" x14ac:dyDescent="0.35">
      <c r="C36" s="7"/>
      <c r="D36" s="8"/>
    </row>
    <row r="37" spans="3:4" ht="16.2" thickBot="1" x14ac:dyDescent="0.35">
      <c r="C37" s="7"/>
      <c r="D37" s="8"/>
    </row>
    <row r="38" spans="3:4" ht="16.2" thickBot="1" x14ac:dyDescent="0.35">
      <c r="C38" s="7"/>
      <c r="D38" s="8"/>
    </row>
    <row r="39" spans="3:4" ht="16.2" thickBot="1" x14ac:dyDescent="0.35">
      <c r="C39" s="7"/>
      <c r="D39" s="8"/>
    </row>
    <row r="40" spans="3:4" ht="16.2" thickBot="1" x14ac:dyDescent="0.35">
      <c r="C40" s="7"/>
      <c r="D40" s="8"/>
    </row>
    <row r="41" spans="3:4" ht="16.2" thickBot="1" x14ac:dyDescent="0.35">
      <c r="C41" s="7"/>
      <c r="D41" s="8"/>
    </row>
    <row r="42" spans="3:4" ht="16.2" thickBot="1" x14ac:dyDescent="0.35">
      <c r="C42" s="7"/>
      <c r="D42" s="8"/>
    </row>
    <row r="43" spans="3:4" ht="16.2" thickBot="1" x14ac:dyDescent="0.35">
      <c r="C43" s="7"/>
      <c r="D43" s="8"/>
    </row>
    <row r="44" spans="3:4" ht="16.2" thickBot="1" x14ac:dyDescent="0.35">
      <c r="C44" s="7"/>
      <c r="D4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4FC6-AF9E-4BD3-AE3C-E66155E8B243}">
  <dimension ref="A3:E82"/>
  <sheetViews>
    <sheetView topLeftCell="A20" zoomScale="94" workbookViewId="0">
      <selection activeCell="F3" sqref="F3"/>
    </sheetView>
  </sheetViews>
  <sheetFormatPr defaultRowHeight="14.4" x14ac:dyDescent="0.3"/>
  <cols>
    <col min="1" max="1" width="18.33203125" bestFit="1" customWidth="1"/>
    <col min="2" max="2" width="30" bestFit="1" customWidth="1"/>
    <col min="3" max="3" width="37.88671875" bestFit="1" customWidth="1"/>
    <col min="4" max="4" width="13.6640625" style="4" bestFit="1" customWidth="1"/>
    <col min="5" max="5" width="13.21875" customWidth="1"/>
  </cols>
  <sheetData>
    <row r="3" spans="1:5" x14ac:dyDescent="0.3">
      <c r="A3" s="1" t="s">
        <v>74</v>
      </c>
      <c r="B3" t="s">
        <v>77</v>
      </c>
      <c r="C3" t="s">
        <v>78</v>
      </c>
      <c r="D3" s="4" t="s">
        <v>79</v>
      </c>
      <c r="E3" t="s">
        <v>80</v>
      </c>
    </row>
    <row r="4" spans="1:5" x14ac:dyDescent="0.3">
      <c r="A4" s="2">
        <v>2000</v>
      </c>
      <c r="B4">
        <v>15198.400000000001</v>
      </c>
      <c r="C4">
        <v>19026.2</v>
      </c>
      <c r="D4" s="4">
        <f>C4/B4</f>
        <v>1.2518554584693125</v>
      </c>
    </row>
    <row r="5" spans="1:5" x14ac:dyDescent="0.3">
      <c r="A5" s="2">
        <v>2001</v>
      </c>
      <c r="B5">
        <v>14014.000000000002</v>
      </c>
      <c r="C5">
        <v>18067.600000000002</v>
      </c>
      <c r="D5" s="4">
        <f t="shared" ref="D5:D68" si="0">C5/B5</f>
        <v>1.2892536035393178</v>
      </c>
      <c r="E5" s="3">
        <f>(D5-D4)/D4</f>
        <v>2.987417182789889E-2</v>
      </c>
    </row>
    <row r="6" spans="1:5" x14ac:dyDescent="0.3">
      <c r="A6" s="2">
        <v>2002</v>
      </c>
      <c r="B6">
        <v>11937.7</v>
      </c>
      <c r="C6">
        <v>16858.7</v>
      </c>
      <c r="D6" s="4">
        <f t="shared" si="0"/>
        <v>1.4122234601305108</v>
      </c>
      <c r="E6" s="3">
        <f t="shared" ref="E6:E69" si="1">(D6-D5)/D5</f>
        <v>9.5380657656189985E-2</v>
      </c>
    </row>
    <row r="7" spans="1:5" x14ac:dyDescent="0.3">
      <c r="A7" s="2">
        <v>2003</v>
      </c>
      <c r="B7">
        <v>14153.700000000003</v>
      </c>
      <c r="C7">
        <v>16868</v>
      </c>
      <c r="D7" s="4">
        <f t="shared" si="0"/>
        <v>1.1917731759186643</v>
      </c>
      <c r="E7" s="3">
        <f t="shared" si="1"/>
        <v>-0.1561015593038467</v>
      </c>
    </row>
    <row r="8" spans="1:5" x14ac:dyDescent="0.3">
      <c r="A8" s="2">
        <v>2004</v>
      </c>
      <c r="B8">
        <v>20831.900000000001</v>
      </c>
      <c r="C8">
        <v>18144.599999999999</v>
      </c>
      <c r="D8" s="4">
        <f t="shared" si="0"/>
        <v>0.87100072484986957</v>
      </c>
      <c r="E8" s="3">
        <f t="shared" si="1"/>
        <v>-0.26915562252148445</v>
      </c>
    </row>
    <row r="9" spans="1:5" x14ac:dyDescent="0.3">
      <c r="A9" s="2">
        <v>2005</v>
      </c>
      <c r="B9">
        <v>30283.599999999999</v>
      </c>
      <c r="C9">
        <v>18324.5</v>
      </c>
      <c r="D9" s="4">
        <f t="shared" si="0"/>
        <v>0.60509648786802095</v>
      </c>
      <c r="E9" s="3">
        <f t="shared" si="1"/>
        <v>-0.30528589632078817</v>
      </c>
    </row>
    <row r="10" spans="1:5" x14ac:dyDescent="0.3">
      <c r="A10" s="2">
        <v>2006</v>
      </c>
      <c r="B10">
        <v>35640.6</v>
      </c>
      <c r="C10">
        <v>18239.699999999997</v>
      </c>
      <c r="D10" s="4">
        <f t="shared" si="0"/>
        <v>0.51176747866197536</v>
      </c>
      <c r="E10" s="3">
        <f t="shared" si="1"/>
        <v>-0.15423822659238737</v>
      </c>
    </row>
    <row r="11" spans="1:5" x14ac:dyDescent="0.3">
      <c r="A11" s="2">
        <v>2007</v>
      </c>
      <c r="B11">
        <v>38584.9</v>
      </c>
      <c r="C11">
        <v>18426.699999999997</v>
      </c>
      <c r="D11" s="4">
        <f t="shared" si="0"/>
        <v>0.47756246614608294</v>
      </c>
      <c r="E11" s="3">
        <f t="shared" si="1"/>
        <v>-6.6837018650192453E-2</v>
      </c>
    </row>
    <row r="12" spans="1:5" x14ac:dyDescent="0.3">
      <c r="A12" s="2">
        <v>2008</v>
      </c>
      <c r="B12">
        <v>54968.4</v>
      </c>
      <c r="C12">
        <v>17978.5</v>
      </c>
      <c r="D12" s="4">
        <f t="shared" si="0"/>
        <v>0.3270697346111584</v>
      </c>
      <c r="E12" s="3">
        <f t="shared" si="1"/>
        <v>-0.31512679953556044</v>
      </c>
    </row>
    <row r="13" spans="1:5" x14ac:dyDescent="0.3">
      <c r="A13" s="2">
        <v>2009</v>
      </c>
      <c r="B13">
        <v>30683</v>
      </c>
      <c r="C13">
        <v>16234.1</v>
      </c>
      <c r="D13" s="4">
        <f t="shared" si="0"/>
        <v>0.5290910276048626</v>
      </c>
      <c r="E13" s="3">
        <f t="shared" si="1"/>
        <v>0.61767039751898822</v>
      </c>
    </row>
    <row r="14" spans="1:5" x14ac:dyDescent="0.3">
      <c r="A14" s="2">
        <v>2010</v>
      </c>
      <c r="B14">
        <v>36931.599999999991</v>
      </c>
      <c r="C14">
        <v>16303.1</v>
      </c>
      <c r="D14" s="4">
        <f t="shared" si="0"/>
        <v>0.44144039250939587</v>
      </c>
      <c r="E14" s="3">
        <f t="shared" si="1"/>
        <v>-0.16566267527206346</v>
      </c>
    </row>
    <row r="15" spans="1:5" x14ac:dyDescent="0.3">
      <c r="A15" s="2">
        <v>2011</v>
      </c>
      <c r="B15">
        <v>49815.799999999996</v>
      </c>
      <c r="C15">
        <v>16349.300000000001</v>
      </c>
      <c r="D15" s="4">
        <f t="shared" si="0"/>
        <v>0.32819507064023867</v>
      </c>
      <c r="E15" s="3">
        <f t="shared" si="1"/>
        <v>-0.25653593053731899</v>
      </c>
    </row>
    <row r="16" spans="1:5" x14ac:dyDescent="0.3">
      <c r="A16" s="2">
        <v>2012</v>
      </c>
      <c r="B16">
        <v>50186.7</v>
      </c>
      <c r="C16">
        <v>15859.300000000001</v>
      </c>
      <c r="D16" s="4">
        <f t="shared" si="0"/>
        <v>0.31600603347101924</v>
      </c>
      <c r="E16" s="3">
        <f t="shared" si="1"/>
        <v>-3.713961073650867E-2</v>
      </c>
    </row>
    <row r="17" spans="1:5" x14ac:dyDescent="0.3">
      <c r="A17" s="2">
        <v>2013</v>
      </c>
      <c r="B17">
        <v>48116.5</v>
      </c>
      <c r="C17">
        <v>15904.8</v>
      </c>
      <c r="D17" s="4">
        <f t="shared" si="0"/>
        <v>0.33054773310610702</v>
      </c>
      <c r="E17" s="3">
        <f t="shared" si="1"/>
        <v>4.6017158202206893E-2</v>
      </c>
    </row>
    <row r="18" spans="1:5" x14ac:dyDescent="0.3">
      <c r="A18" s="2">
        <v>2014</v>
      </c>
      <c r="B18">
        <v>46211.1</v>
      </c>
      <c r="C18">
        <v>16192.300000000001</v>
      </c>
      <c r="D18" s="4">
        <f t="shared" si="0"/>
        <v>0.35039849733072792</v>
      </c>
      <c r="E18" s="3">
        <f t="shared" si="1"/>
        <v>6.0054153262786805E-2</v>
      </c>
    </row>
    <row r="19" spans="1:5" x14ac:dyDescent="0.3">
      <c r="A19" s="2">
        <v>2015</v>
      </c>
      <c r="B19">
        <v>30797.800000000003</v>
      </c>
      <c r="C19">
        <v>16729.600000000002</v>
      </c>
      <c r="D19" s="4">
        <f t="shared" si="0"/>
        <v>0.54320763171395359</v>
      </c>
      <c r="E19" s="3">
        <f t="shared" si="1"/>
        <v>0.55025673869040714</v>
      </c>
    </row>
    <row r="20" spans="1:5" x14ac:dyDescent="0.3">
      <c r="A20" s="2">
        <v>2016</v>
      </c>
      <c r="B20">
        <v>24653.899999999994</v>
      </c>
      <c r="C20">
        <v>17044.5</v>
      </c>
      <c r="D20" s="4">
        <f t="shared" si="0"/>
        <v>0.69135106413184133</v>
      </c>
      <c r="E20" s="3">
        <f t="shared" si="1"/>
        <v>0.27271971851805321</v>
      </c>
    </row>
    <row r="21" spans="1:5" x14ac:dyDescent="0.3">
      <c r="A21" s="2">
        <v>2017</v>
      </c>
      <c r="B21">
        <v>29251.599999999999</v>
      </c>
      <c r="C21">
        <v>17295.3</v>
      </c>
      <c r="D21" s="4">
        <f t="shared" si="0"/>
        <v>0.5912599652668572</v>
      </c>
      <c r="E21" s="3">
        <f t="shared" si="1"/>
        <v>-0.14477608274266959</v>
      </c>
    </row>
    <row r="22" spans="1:5" x14ac:dyDescent="0.3">
      <c r="A22" s="2">
        <v>2018</v>
      </c>
      <c r="B22">
        <v>38462.800000000003</v>
      </c>
      <c r="C22">
        <v>17868.600000000002</v>
      </c>
      <c r="D22" s="4">
        <f t="shared" si="0"/>
        <v>0.46456836215772124</v>
      </c>
      <c r="E22" s="3">
        <f t="shared" si="1"/>
        <v>-0.21427394133129818</v>
      </c>
    </row>
    <row r="23" spans="1:5" x14ac:dyDescent="0.3">
      <c r="A23" s="2">
        <v>2019</v>
      </c>
      <c r="B23">
        <v>36456.999999999993</v>
      </c>
      <c r="C23">
        <v>18269.099999999995</v>
      </c>
      <c r="D23" s="4">
        <f t="shared" si="0"/>
        <v>0.50111364072743225</v>
      </c>
      <c r="E23" s="3">
        <f t="shared" si="1"/>
        <v>7.8665017996434008E-2</v>
      </c>
    </row>
    <row r="24" spans="1:5" x14ac:dyDescent="0.3">
      <c r="A24" s="2">
        <v>2020</v>
      </c>
      <c r="B24">
        <v>14687.399999999998</v>
      </c>
      <c r="C24">
        <v>10279.6</v>
      </c>
      <c r="D24" s="4">
        <f t="shared" si="0"/>
        <v>0.6998924247994881</v>
      </c>
      <c r="E24" s="3">
        <f t="shared" si="1"/>
        <v>0.39667406335916605</v>
      </c>
    </row>
    <row r="25" spans="1:5" x14ac:dyDescent="0.3">
      <c r="A25" s="2">
        <v>2021</v>
      </c>
      <c r="B25">
        <v>27239.8</v>
      </c>
      <c r="C25">
        <v>13785.400000000001</v>
      </c>
      <c r="D25" s="4">
        <f t="shared" si="0"/>
        <v>0.50607566869066589</v>
      </c>
      <c r="E25" s="3">
        <f t="shared" si="1"/>
        <v>-0.27692363746378407</v>
      </c>
    </row>
    <row r="26" spans="1:5" x14ac:dyDescent="0.3">
      <c r="A26" s="2">
        <v>2022</v>
      </c>
      <c r="B26">
        <v>56128.5</v>
      </c>
      <c r="C26">
        <v>16657.400000000001</v>
      </c>
      <c r="D26" s="4">
        <f t="shared" si="0"/>
        <v>0.29677258433772508</v>
      </c>
      <c r="E26" s="3">
        <f t="shared" si="1"/>
        <v>-0.41358061116523548</v>
      </c>
    </row>
    <row r="27" spans="1:5" x14ac:dyDescent="0.3">
      <c r="A27" s="2">
        <v>2023</v>
      </c>
      <c r="B27">
        <v>52555.3</v>
      </c>
      <c r="C27">
        <v>18466.800000000003</v>
      </c>
      <c r="D27" s="4">
        <f t="shared" si="0"/>
        <v>0.35137845279163094</v>
      </c>
      <c r="E27" s="3">
        <f t="shared" si="1"/>
        <v>0.18399903271309176</v>
      </c>
    </row>
    <row r="28" spans="1:5" x14ac:dyDescent="0.3">
      <c r="A28" s="2">
        <v>2024</v>
      </c>
      <c r="B28">
        <v>48228.700000000004</v>
      </c>
      <c r="C28">
        <v>18960.899999999998</v>
      </c>
      <c r="D28" s="4">
        <f t="shared" si="0"/>
        <v>0.39314557514508985</v>
      </c>
      <c r="E28" s="3">
        <f t="shared" si="1"/>
        <v>0.11886648717821925</v>
      </c>
    </row>
    <row r="29" spans="1:5" x14ac:dyDescent="0.3">
      <c r="A29" s="2">
        <v>2025</v>
      </c>
      <c r="B29">
        <v>6835</v>
      </c>
      <c r="C29">
        <v>2808.4</v>
      </c>
      <c r="D29" s="4">
        <f t="shared" si="0"/>
        <v>0.41088514996342357</v>
      </c>
      <c r="E29" s="3">
        <f t="shared" si="1"/>
        <v>4.5122153064515474E-2</v>
      </c>
    </row>
    <row r="30" spans="1:5" x14ac:dyDescent="0.3">
      <c r="A30" s="2" t="s">
        <v>25</v>
      </c>
      <c r="B30">
        <v>-7.7899999999999997E-2</v>
      </c>
      <c r="C30">
        <v>-5.04E-2</v>
      </c>
      <c r="D30" s="4">
        <f t="shared" si="0"/>
        <v>0.64698331193838254</v>
      </c>
      <c r="E30" s="3">
        <f t="shared" si="1"/>
        <v>0.57460865158055996</v>
      </c>
    </row>
    <row r="31" spans="1:5" x14ac:dyDescent="0.3">
      <c r="A31" s="2" t="s">
        <v>27</v>
      </c>
      <c r="B31">
        <v>-0.1482</v>
      </c>
      <c r="C31">
        <v>-6.6900000000000001E-2</v>
      </c>
      <c r="D31" s="4">
        <f t="shared" si="0"/>
        <v>0.45141700404858298</v>
      </c>
      <c r="E31" s="3">
        <f t="shared" si="1"/>
        <v>-0.30227411477411481</v>
      </c>
    </row>
    <row r="32" spans="1:5" x14ac:dyDescent="0.3">
      <c r="A32" s="2" t="s">
        <v>29</v>
      </c>
      <c r="B32">
        <v>0.18559999999999999</v>
      </c>
      <c r="C32">
        <v>5.9999999999999995E-4</v>
      </c>
      <c r="D32" s="4">
        <f t="shared" si="0"/>
        <v>3.2327586206896551E-3</v>
      </c>
      <c r="E32" s="3">
        <f t="shared" si="1"/>
        <v>-0.99283864233802377</v>
      </c>
    </row>
    <row r="33" spans="1:5" x14ac:dyDescent="0.3">
      <c r="A33" s="2" t="s">
        <v>31</v>
      </c>
      <c r="B33">
        <v>0.4718</v>
      </c>
      <c r="C33">
        <v>7.5700000000000003E-2</v>
      </c>
      <c r="D33" s="4">
        <f t="shared" si="0"/>
        <v>0.16044934294192456</v>
      </c>
      <c r="E33" s="3">
        <f t="shared" si="1"/>
        <v>48.632330083368657</v>
      </c>
    </row>
    <row r="34" spans="1:5" x14ac:dyDescent="0.3">
      <c r="A34" s="2" t="s">
        <v>33</v>
      </c>
      <c r="B34">
        <v>0.45369999999999999</v>
      </c>
      <c r="C34">
        <v>9.9000000000000008E-3</v>
      </c>
      <c r="D34" s="4">
        <f t="shared" si="0"/>
        <v>2.1820586290500332E-2</v>
      </c>
      <c r="E34" s="3">
        <f t="shared" si="1"/>
        <v>-0.86400326800715921</v>
      </c>
    </row>
    <row r="35" spans="1:5" x14ac:dyDescent="0.3">
      <c r="A35" s="2" t="s">
        <v>35</v>
      </c>
      <c r="B35">
        <v>0.1769</v>
      </c>
      <c r="C35">
        <v>-4.5999999999999999E-3</v>
      </c>
      <c r="D35" s="4">
        <f t="shared" si="0"/>
        <v>-2.6003391746749576E-2</v>
      </c>
      <c r="E35" s="3">
        <f t="shared" si="1"/>
        <v>-2.191690791464675</v>
      </c>
    </row>
    <row r="36" spans="1:5" x14ac:dyDescent="0.3">
      <c r="A36" s="2" t="s">
        <v>37</v>
      </c>
      <c r="B36">
        <v>8.2600000000000007E-2</v>
      </c>
      <c r="C36">
        <v>1.03E-2</v>
      </c>
      <c r="D36" s="4">
        <f t="shared" si="0"/>
        <v>0.12469733656174334</v>
      </c>
      <c r="E36" s="3">
        <f t="shared" si="1"/>
        <v>-5.7954258342983467</v>
      </c>
    </row>
    <row r="37" spans="1:5" x14ac:dyDescent="0.3">
      <c r="A37" s="2" t="s">
        <v>39</v>
      </c>
      <c r="B37">
        <v>0.42459999999999998</v>
      </c>
      <c r="C37">
        <v>-2.4299999999999999E-2</v>
      </c>
      <c r="D37" s="4">
        <f t="shared" si="0"/>
        <v>-5.7230334432406972E-2</v>
      </c>
      <c r="E37" s="3">
        <f t="shared" si="1"/>
        <v>-1.4589539440890111</v>
      </c>
    </row>
    <row r="38" spans="1:5" x14ac:dyDescent="0.3">
      <c r="A38" s="2" t="s">
        <v>41</v>
      </c>
      <c r="B38">
        <v>-0.44180000000000003</v>
      </c>
      <c r="C38">
        <v>-9.7000000000000003E-2</v>
      </c>
      <c r="D38" s="4">
        <f t="shared" si="0"/>
        <v>0.21955636034404707</v>
      </c>
      <c r="E38" s="3">
        <f t="shared" si="1"/>
        <v>-4.83636339926265</v>
      </c>
    </row>
    <row r="39" spans="1:5" x14ac:dyDescent="0.3">
      <c r="A39" s="2" t="s">
        <v>43</v>
      </c>
      <c r="B39">
        <v>0.20369999999999999</v>
      </c>
      <c r="C39">
        <v>4.3E-3</v>
      </c>
      <c r="D39" s="4">
        <f t="shared" si="0"/>
        <v>2.1109474717722142E-2</v>
      </c>
      <c r="E39" s="3">
        <f t="shared" si="1"/>
        <v>-0.90385395948155001</v>
      </c>
    </row>
    <row r="40" spans="1:5" x14ac:dyDescent="0.3">
      <c r="A40" s="2" t="s">
        <v>45</v>
      </c>
      <c r="B40">
        <v>0.34889999999999999</v>
      </c>
      <c r="C40">
        <v>2.8E-3</v>
      </c>
      <c r="D40" s="4">
        <f t="shared" si="0"/>
        <v>8.0252221266838633E-3</v>
      </c>
      <c r="E40" s="3">
        <f t="shared" si="1"/>
        <v>-0.61982843088244122</v>
      </c>
    </row>
    <row r="41" spans="1:5" x14ac:dyDescent="0.3">
      <c r="A41" s="2" t="s">
        <v>47</v>
      </c>
      <c r="B41">
        <v>7.4000000000000003E-3</v>
      </c>
      <c r="C41">
        <v>-0.03</v>
      </c>
      <c r="D41" s="4">
        <f t="shared" si="0"/>
        <v>-4.0540540540540535</v>
      </c>
      <c r="E41" s="3">
        <f t="shared" si="1"/>
        <v>-506.16409266409266</v>
      </c>
    </row>
    <row r="42" spans="1:5" x14ac:dyDescent="0.3">
      <c r="A42" s="2" t="s">
        <v>49</v>
      </c>
      <c r="B42">
        <v>-4.1300000000000003E-2</v>
      </c>
      <c r="C42">
        <v>2.8999999999999998E-3</v>
      </c>
      <c r="D42" s="4">
        <f t="shared" si="0"/>
        <v>-7.0217917675544778E-2</v>
      </c>
      <c r="E42" s="3">
        <f t="shared" si="1"/>
        <v>-0.98267958030669889</v>
      </c>
    </row>
    <row r="43" spans="1:5" x14ac:dyDescent="0.3">
      <c r="A43" s="2" t="s">
        <v>51</v>
      </c>
      <c r="B43">
        <v>-3.9600000000000003E-2</v>
      </c>
      <c r="C43">
        <v>1.8100000000000002E-2</v>
      </c>
      <c r="D43" s="4">
        <f t="shared" si="0"/>
        <v>-0.45707070707070707</v>
      </c>
      <c r="E43" s="3">
        <f t="shared" si="1"/>
        <v>5.5093173110414506</v>
      </c>
    </row>
    <row r="44" spans="1:5" x14ac:dyDescent="0.3">
      <c r="A44" s="2" t="s">
        <v>53</v>
      </c>
      <c r="B44">
        <v>-0.33350000000000002</v>
      </c>
      <c r="C44">
        <v>3.32E-2</v>
      </c>
      <c r="D44" s="4">
        <f t="shared" si="0"/>
        <v>-9.9550224887556216E-2</v>
      </c>
      <c r="E44" s="3">
        <f t="shared" si="1"/>
        <v>-0.78219950798081628</v>
      </c>
    </row>
    <row r="45" spans="1:5" x14ac:dyDescent="0.3">
      <c r="A45" s="2" t="s">
        <v>55</v>
      </c>
      <c r="B45">
        <v>-0.19950000000000001</v>
      </c>
      <c r="C45">
        <v>1.8800000000000001E-2</v>
      </c>
      <c r="D45" s="4">
        <f t="shared" si="0"/>
        <v>-9.4235588972431075E-2</v>
      </c>
      <c r="E45" s="3">
        <f t="shared" si="1"/>
        <v>-5.3386478243802243E-2</v>
      </c>
    </row>
    <row r="46" spans="1:5" x14ac:dyDescent="0.3">
      <c r="A46" s="2" t="s">
        <v>57</v>
      </c>
      <c r="B46">
        <v>0.1865</v>
      </c>
      <c r="C46">
        <v>1.47E-2</v>
      </c>
      <c r="D46" s="4">
        <f t="shared" si="0"/>
        <v>7.8820375335120638E-2</v>
      </c>
      <c r="E46" s="3">
        <f t="shared" si="1"/>
        <v>-1.836418344646626</v>
      </c>
    </row>
    <row r="47" spans="1:5" x14ac:dyDescent="0.3">
      <c r="A47" s="2" t="s">
        <v>59</v>
      </c>
      <c r="B47">
        <v>0.31490000000000001</v>
      </c>
      <c r="C47">
        <v>3.32E-2</v>
      </c>
      <c r="D47" s="4">
        <f t="shared" si="0"/>
        <v>0.10543029533185137</v>
      </c>
      <c r="E47" s="3">
        <f t="shared" si="1"/>
        <v>0.337602046217026</v>
      </c>
    </row>
    <row r="48" spans="1:5" x14ac:dyDescent="0.3">
      <c r="A48" s="2" t="s">
        <v>61</v>
      </c>
      <c r="B48">
        <v>-5.21E-2</v>
      </c>
      <c r="C48">
        <v>2.24E-2</v>
      </c>
      <c r="D48" s="4">
        <f t="shared" si="0"/>
        <v>-0.42994241842610365</v>
      </c>
      <c r="E48" s="3">
        <f t="shared" si="1"/>
        <v>-5.0779779386259056</v>
      </c>
    </row>
    <row r="49" spans="1:5" x14ac:dyDescent="0.3">
      <c r="A49" s="2" t="s">
        <v>63</v>
      </c>
      <c r="B49">
        <v>-0.59709999999999996</v>
      </c>
      <c r="C49">
        <v>-0.43730000000000002</v>
      </c>
      <c r="D49" s="4">
        <f t="shared" si="0"/>
        <v>0.73237313682800209</v>
      </c>
      <c r="E49" s="3">
        <f t="shared" si="1"/>
        <v>-2.7034214477115586</v>
      </c>
    </row>
    <row r="50" spans="1:5" x14ac:dyDescent="0.3">
      <c r="A50" s="2" t="s">
        <v>65</v>
      </c>
      <c r="B50">
        <v>0.85460000000000003</v>
      </c>
      <c r="C50">
        <v>0.34110000000000001</v>
      </c>
      <c r="D50" s="4">
        <f t="shared" si="0"/>
        <v>0.3991340978235432</v>
      </c>
      <c r="E50" s="3">
        <f t="shared" si="1"/>
        <v>-0.45501264621441201</v>
      </c>
    </row>
    <row r="51" spans="1:5" x14ac:dyDescent="0.3">
      <c r="A51" s="2" t="s">
        <v>67</v>
      </c>
      <c r="B51">
        <v>1.0605</v>
      </c>
      <c r="C51">
        <v>0.20830000000000001</v>
      </c>
      <c r="D51" s="4">
        <f t="shared" si="0"/>
        <v>0.19641678453559644</v>
      </c>
      <c r="E51" s="3">
        <f t="shared" si="1"/>
        <v>-0.507892746807034</v>
      </c>
    </row>
    <row r="52" spans="1:5" x14ac:dyDescent="0.3">
      <c r="A52" s="2" t="s">
        <v>69</v>
      </c>
      <c r="B52">
        <v>-6.3700000000000007E-2</v>
      </c>
      <c r="C52">
        <v>0.1086</v>
      </c>
      <c r="D52" s="4">
        <f t="shared" si="0"/>
        <v>-1.704866562009419</v>
      </c>
      <c r="E52" s="3">
        <f t="shared" si="1"/>
        <v>-9.6798415218962486</v>
      </c>
    </row>
    <row r="53" spans="1:5" x14ac:dyDescent="0.3">
      <c r="A53" s="2" t="s">
        <v>71</v>
      </c>
      <c r="B53">
        <v>-8.2299999999999998E-2</v>
      </c>
      <c r="C53">
        <v>2.6800000000000001E-2</v>
      </c>
      <c r="D53" s="4">
        <f t="shared" si="0"/>
        <v>-0.32563791008505472</v>
      </c>
      <c r="E53" s="3">
        <f t="shared" si="1"/>
        <v>-0.8089950748396133</v>
      </c>
    </row>
    <row r="54" spans="1:5" x14ac:dyDescent="0.3">
      <c r="A54" s="2" t="s">
        <v>73</v>
      </c>
      <c r="B54">
        <v>-0.1328</v>
      </c>
      <c r="C54">
        <v>-1.46E-2</v>
      </c>
      <c r="D54" s="4">
        <f t="shared" si="0"/>
        <v>0.10993975903614457</v>
      </c>
      <c r="E54" s="3">
        <f t="shared" si="1"/>
        <v>-1.3376135137565186</v>
      </c>
    </row>
    <row r="55" spans="1:5" x14ac:dyDescent="0.3">
      <c r="A55" s="2" t="s">
        <v>23</v>
      </c>
      <c r="B55">
        <v>15198.4</v>
      </c>
      <c r="C55">
        <v>19026.2</v>
      </c>
      <c r="D55" s="4">
        <f t="shared" si="0"/>
        <v>1.2518554584693127</v>
      </c>
      <c r="E55" s="3">
        <f t="shared" si="1"/>
        <v>10.386740060597583</v>
      </c>
    </row>
    <row r="56" spans="1:5" x14ac:dyDescent="0.3">
      <c r="A56" s="2" t="s">
        <v>24</v>
      </c>
      <c r="B56">
        <v>14014.2</v>
      </c>
      <c r="C56">
        <v>18067.599999999999</v>
      </c>
      <c r="D56" s="4">
        <f t="shared" si="0"/>
        <v>1.2892352042927886</v>
      </c>
      <c r="E56" s="3">
        <f t="shared" si="1"/>
        <v>2.9859474247275669E-2</v>
      </c>
    </row>
    <row r="57" spans="1:5" x14ac:dyDescent="0.3">
      <c r="A57" s="2" t="s">
        <v>26</v>
      </c>
      <c r="B57">
        <v>11937.7</v>
      </c>
      <c r="C57">
        <v>16858.7</v>
      </c>
      <c r="D57" s="4">
        <f t="shared" si="0"/>
        <v>1.4122234601305108</v>
      </c>
      <c r="E57" s="3">
        <f t="shared" si="1"/>
        <v>9.5396290318637056E-2</v>
      </c>
    </row>
    <row r="58" spans="1:5" x14ac:dyDescent="0.3">
      <c r="A58" s="2" t="s">
        <v>28</v>
      </c>
      <c r="B58">
        <v>14153.7</v>
      </c>
      <c r="C58">
        <v>16868</v>
      </c>
      <c r="D58" s="4">
        <f t="shared" si="0"/>
        <v>1.1917731759186643</v>
      </c>
      <c r="E58" s="3">
        <f t="shared" si="1"/>
        <v>-0.1561015593038467</v>
      </c>
    </row>
    <row r="59" spans="1:5" x14ac:dyDescent="0.3">
      <c r="A59" s="2" t="s">
        <v>30</v>
      </c>
      <c r="B59">
        <v>20831.900000000001</v>
      </c>
      <c r="C59">
        <v>18144.7</v>
      </c>
      <c r="D59" s="4">
        <f t="shared" si="0"/>
        <v>0.87100552518013241</v>
      </c>
      <c r="E59" s="3">
        <f t="shared" si="1"/>
        <v>-0.26915159463231914</v>
      </c>
    </row>
    <row r="60" spans="1:5" x14ac:dyDescent="0.3">
      <c r="A60" s="2" t="s">
        <v>32</v>
      </c>
      <c r="B60">
        <v>30283.7</v>
      </c>
      <c r="C60">
        <v>18324.5</v>
      </c>
      <c r="D60" s="4">
        <f t="shared" si="0"/>
        <v>0.60509448977502744</v>
      </c>
      <c r="E60" s="3">
        <f t="shared" si="1"/>
        <v>-0.30529201907199383</v>
      </c>
    </row>
    <row r="61" spans="1:5" x14ac:dyDescent="0.3">
      <c r="A61" s="2" t="s">
        <v>34</v>
      </c>
      <c r="B61">
        <v>35640.6</v>
      </c>
      <c r="C61">
        <v>18239.7</v>
      </c>
      <c r="D61" s="4">
        <f t="shared" si="0"/>
        <v>0.51176747866197547</v>
      </c>
      <c r="E61" s="3">
        <f t="shared" si="1"/>
        <v>-0.15423543378778859</v>
      </c>
    </row>
    <row r="62" spans="1:5" x14ac:dyDescent="0.3">
      <c r="A62" s="2" t="s">
        <v>36</v>
      </c>
      <c r="B62">
        <v>38584.9</v>
      </c>
      <c r="C62">
        <v>18426.8</v>
      </c>
      <c r="D62" s="4">
        <f t="shared" si="0"/>
        <v>0.47756505783350478</v>
      </c>
      <c r="E62" s="3">
        <f t="shared" si="1"/>
        <v>-6.6831954460829526E-2</v>
      </c>
    </row>
    <row r="63" spans="1:5" x14ac:dyDescent="0.3">
      <c r="A63" s="2" t="s">
        <v>38</v>
      </c>
      <c r="B63">
        <v>54968.4</v>
      </c>
      <c r="C63">
        <v>17978.400000000001</v>
      </c>
      <c r="D63" s="4">
        <f t="shared" si="0"/>
        <v>0.32706791538411162</v>
      </c>
      <c r="E63" s="3">
        <f t="shared" si="1"/>
        <v>-0.31513432563958965</v>
      </c>
    </row>
    <row r="64" spans="1:5" x14ac:dyDescent="0.3">
      <c r="A64" s="2" t="s">
        <v>40</v>
      </c>
      <c r="B64">
        <v>30682.9</v>
      </c>
      <c r="C64">
        <v>16234</v>
      </c>
      <c r="D64" s="4">
        <f t="shared" si="0"/>
        <v>0.52908949284454854</v>
      </c>
      <c r="E64" s="3">
        <f t="shared" si="1"/>
        <v>0.61767470289215276</v>
      </c>
    </row>
    <row r="65" spans="1:5" x14ac:dyDescent="0.3">
      <c r="A65" s="2" t="s">
        <v>42</v>
      </c>
      <c r="B65">
        <v>36931.599999999999</v>
      </c>
      <c r="C65">
        <v>16303.2</v>
      </c>
      <c r="D65" s="4">
        <f t="shared" si="0"/>
        <v>0.44144310021769978</v>
      </c>
      <c r="E65" s="3">
        <f t="shared" si="1"/>
        <v>-0.16565513738637047</v>
      </c>
    </row>
    <row r="66" spans="1:5" x14ac:dyDescent="0.3">
      <c r="A66" s="2" t="s">
        <v>44</v>
      </c>
      <c r="B66">
        <v>49815.9</v>
      </c>
      <c r="C66">
        <v>16349.3</v>
      </c>
      <c r="D66" s="4">
        <f t="shared" si="0"/>
        <v>0.32819441182433717</v>
      </c>
      <c r="E66" s="3">
        <f t="shared" si="1"/>
        <v>-0.25654198318540594</v>
      </c>
    </row>
    <row r="67" spans="1:5" x14ac:dyDescent="0.3">
      <c r="A67" s="2" t="s">
        <v>46</v>
      </c>
      <c r="B67">
        <v>50186.8</v>
      </c>
      <c r="C67">
        <v>15859.2</v>
      </c>
      <c r="D67" s="4">
        <f t="shared" si="0"/>
        <v>0.31600341125554926</v>
      </c>
      <c r="E67" s="3">
        <f t="shared" si="1"/>
        <v>-3.7145667718781958E-2</v>
      </c>
    </row>
    <row r="68" spans="1:5" x14ac:dyDescent="0.3">
      <c r="A68" s="2" t="s">
        <v>48</v>
      </c>
      <c r="B68">
        <v>48116.4</v>
      </c>
      <c r="C68">
        <v>15904.7</v>
      </c>
      <c r="D68" s="4">
        <f t="shared" si="0"/>
        <v>0.33054634178783115</v>
      </c>
      <c r="E68" s="3">
        <f t="shared" si="1"/>
        <v>4.6021435257612299E-2</v>
      </c>
    </row>
    <row r="69" spans="1:5" x14ac:dyDescent="0.3">
      <c r="A69" s="2" t="s">
        <v>50</v>
      </c>
      <c r="B69">
        <v>46211.1</v>
      </c>
      <c r="C69">
        <v>16192.2</v>
      </c>
      <c r="D69" s="4">
        <f t="shared" ref="D69:D82" si="2">C69/B69</f>
        <v>0.35039633334848125</v>
      </c>
      <c r="E69" s="3">
        <f t="shared" si="1"/>
        <v>6.005206850357845E-2</v>
      </c>
    </row>
    <row r="70" spans="1:5" x14ac:dyDescent="0.3">
      <c r="A70" s="2" t="s">
        <v>52</v>
      </c>
      <c r="B70">
        <v>30797.8</v>
      </c>
      <c r="C70">
        <v>16729.599999999999</v>
      </c>
      <c r="D70" s="4">
        <f t="shared" si="2"/>
        <v>0.54320763171395359</v>
      </c>
      <c r="E70" s="3">
        <f t="shared" ref="E70:E82" si="3">(D70-D69)/D69</f>
        <v>0.5502663127861982</v>
      </c>
    </row>
    <row r="71" spans="1:5" x14ac:dyDescent="0.3">
      <c r="A71" s="2" t="s">
        <v>54</v>
      </c>
      <c r="B71">
        <v>24654</v>
      </c>
      <c r="C71">
        <v>17044.7</v>
      </c>
      <c r="D71" s="4">
        <f t="shared" si="2"/>
        <v>0.69135637219112522</v>
      </c>
      <c r="E71" s="3">
        <f t="shared" si="3"/>
        <v>0.27272949021302584</v>
      </c>
    </row>
    <row r="72" spans="1:5" x14ac:dyDescent="0.3">
      <c r="A72" s="2" t="s">
        <v>56</v>
      </c>
      <c r="B72">
        <v>29251.599999999999</v>
      </c>
      <c r="C72">
        <v>17295.3</v>
      </c>
      <c r="D72" s="4">
        <f t="shared" si="2"/>
        <v>0.5912599652668572</v>
      </c>
      <c r="E72" s="3">
        <f t="shared" si="3"/>
        <v>-0.14478264893549922</v>
      </c>
    </row>
    <row r="73" spans="1:5" x14ac:dyDescent="0.3">
      <c r="A73" s="2" t="s">
        <v>58</v>
      </c>
      <c r="B73">
        <v>38462.800000000003</v>
      </c>
      <c r="C73">
        <v>17868.599999999999</v>
      </c>
      <c r="D73" s="4">
        <f t="shared" si="2"/>
        <v>0.46456836215772113</v>
      </c>
      <c r="E73" s="3">
        <f t="shared" si="3"/>
        <v>-0.21427394133129837</v>
      </c>
    </row>
    <row r="74" spans="1:5" x14ac:dyDescent="0.3">
      <c r="A74" s="2" t="s">
        <v>60</v>
      </c>
      <c r="B74">
        <v>36457.1</v>
      </c>
      <c r="C74">
        <v>18269</v>
      </c>
      <c r="D74" s="4">
        <f t="shared" si="2"/>
        <v>0.50110952324787217</v>
      </c>
      <c r="E74" s="3">
        <f t="shared" si="3"/>
        <v>7.8656154974550987E-2</v>
      </c>
    </row>
    <row r="75" spans="1:5" x14ac:dyDescent="0.3">
      <c r="A75" s="2" t="s">
        <v>62</v>
      </c>
      <c r="B75">
        <v>14687.5</v>
      </c>
      <c r="C75">
        <v>10279.5</v>
      </c>
      <c r="D75" s="4">
        <f t="shared" si="2"/>
        <v>0.6998808510638298</v>
      </c>
      <c r="E75" s="3">
        <f t="shared" si="3"/>
        <v>0.39666244322727839</v>
      </c>
    </row>
    <row r="76" spans="1:5" x14ac:dyDescent="0.3">
      <c r="A76" s="2" t="s">
        <v>64</v>
      </c>
      <c r="B76">
        <v>27239.8</v>
      </c>
      <c r="C76">
        <v>13785.4</v>
      </c>
      <c r="D76" s="4">
        <f t="shared" si="2"/>
        <v>0.50607566869066589</v>
      </c>
      <c r="E76" s="3">
        <f t="shared" si="3"/>
        <v>-0.27691168015038131</v>
      </c>
    </row>
    <row r="77" spans="1:5" x14ac:dyDescent="0.3">
      <c r="A77" s="2" t="s">
        <v>66</v>
      </c>
      <c r="B77">
        <v>56128.7</v>
      </c>
      <c r="C77">
        <v>16657.5</v>
      </c>
      <c r="D77" s="4">
        <f t="shared" si="2"/>
        <v>0.29677330848567668</v>
      </c>
      <c r="E77" s="3">
        <f t="shared" si="3"/>
        <v>-0.41357918025678364</v>
      </c>
    </row>
    <row r="78" spans="1:5" x14ac:dyDescent="0.3">
      <c r="A78" s="2" t="s">
        <v>68</v>
      </c>
      <c r="B78">
        <v>52555.1</v>
      </c>
      <c r="C78">
        <v>18466.7</v>
      </c>
      <c r="D78" s="4">
        <f t="shared" si="2"/>
        <v>0.35137788720790181</v>
      </c>
      <c r="E78" s="3">
        <f t="shared" si="3"/>
        <v>0.18399423789441138</v>
      </c>
    </row>
    <row r="79" spans="1:5" x14ac:dyDescent="0.3">
      <c r="A79" s="2" t="s">
        <v>70</v>
      </c>
      <c r="B79">
        <v>48228.6</v>
      </c>
      <c r="C79">
        <v>18960.900000000001</v>
      </c>
      <c r="D79" s="4">
        <f t="shared" si="2"/>
        <v>0.39314639031611953</v>
      </c>
      <c r="E79" s="3">
        <f t="shared" si="3"/>
        <v>0.11887060805139485</v>
      </c>
    </row>
    <row r="80" spans="1:5" x14ac:dyDescent="0.3">
      <c r="A80" s="2" t="s">
        <v>72</v>
      </c>
      <c r="B80">
        <v>6835</v>
      </c>
      <c r="C80">
        <v>2808.4</v>
      </c>
      <c r="D80" s="4">
        <f t="shared" si="2"/>
        <v>0.41088514996342357</v>
      </c>
      <c r="E80" s="3">
        <f t="shared" si="3"/>
        <v>4.5119986051609752E-2</v>
      </c>
    </row>
    <row r="81" spans="1:5" x14ac:dyDescent="0.3">
      <c r="A81" s="2" t="s">
        <v>75</v>
      </c>
      <c r="D81" s="4" t="e">
        <f t="shared" si="2"/>
        <v>#DIV/0!</v>
      </c>
      <c r="E81" s="3" t="e">
        <f t="shared" si="3"/>
        <v>#DIV/0!</v>
      </c>
    </row>
    <row r="82" spans="1:5" x14ac:dyDescent="0.3">
      <c r="A82" s="2" t="s">
        <v>76</v>
      </c>
      <c r="B82">
        <v>1725714.4619</v>
      </c>
      <c r="C82">
        <v>853886.00659999996</v>
      </c>
      <c r="D82" s="4">
        <f t="shared" si="2"/>
        <v>0.49480144337428639</v>
      </c>
      <c r="E82" s="3" t="e">
        <f t="shared" si="3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3366-DD0A-4A05-B971-9079B574F60C}">
  <dimension ref="A3:G94"/>
  <sheetViews>
    <sheetView topLeftCell="A78" workbookViewId="0">
      <selection activeCell="I33" sqref="I33"/>
    </sheetView>
  </sheetViews>
  <sheetFormatPr defaultRowHeight="14.4" x14ac:dyDescent="0.3"/>
  <cols>
    <col min="1" max="1" width="16" bestFit="1" customWidth="1"/>
    <col min="2" max="2" width="29.33203125" bestFit="1" customWidth="1"/>
    <col min="3" max="3" width="37" bestFit="1" customWidth="1"/>
    <col min="4" max="4" width="13.6640625" style="4" bestFit="1" customWidth="1"/>
    <col min="5" max="5" width="13.21875" customWidth="1"/>
  </cols>
  <sheetData>
    <row r="3" spans="1:5" x14ac:dyDescent="0.3">
      <c r="A3" s="1" t="s">
        <v>74</v>
      </c>
      <c r="B3" t="s">
        <v>77</v>
      </c>
      <c r="C3" t="s">
        <v>78</v>
      </c>
      <c r="D3" s="4" t="s">
        <v>79</v>
      </c>
      <c r="E3" t="s">
        <v>80</v>
      </c>
    </row>
    <row r="4" spans="1:5" x14ac:dyDescent="0.3">
      <c r="A4" s="2">
        <v>2018</v>
      </c>
      <c r="B4" s="9">
        <v>38462.800000000003</v>
      </c>
      <c r="C4" s="9">
        <v>17868.600000000002</v>
      </c>
      <c r="D4" s="4">
        <f>C4/B4</f>
        <v>0.46456836215772124</v>
      </c>
    </row>
    <row r="5" spans="1:5" x14ac:dyDescent="0.3">
      <c r="A5" s="10" t="s">
        <v>11</v>
      </c>
      <c r="B5" s="9">
        <v>2784.3</v>
      </c>
      <c r="C5" s="9">
        <v>1379.3</v>
      </c>
      <c r="D5" s="4">
        <f t="shared" ref="D5:D16" si="0">C5/B5</f>
        <v>0.49538483640412306</v>
      </c>
      <c r="E5" s="3">
        <f>(D5-D4)/D4</f>
        <v>6.633356198272411E-2</v>
      </c>
    </row>
    <row r="6" spans="1:5" x14ac:dyDescent="0.3">
      <c r="A6" s="10" t="s">
        <v>12</v>
      </c>
      <c r="B6" s="9">
        <v>2573.8000000000002</v>
      </c>
      <c r="C6" s="9">
        <v>1267.4000000000001</v>
      </c>
      <c r="D6" s="4">
        <f t="shared" si="0"/>
        <v>0.49242365374154945</v>
      </c>
      <c r="E6" s="3">
        <f t="shared" ref="E6:E16" si="1">(D6-D5)/D5</f>
        <v>-5.977539974917504E-3</v>
      </c>
    </row>
    <row r="7" spans="1:5" x14ac:dyDescent="0.3">
      <c r="A7" s="10" t="s">
        <v>13</v>
      </c>
      <c r="B7" s="9">
        <v>2913.9</v>
      </c>
      <c r="C7" s="9">
        <v>1483</v>
      </c>
      <c r="D7" s="4">
        <f t="shared" si="0"/>
        <v>0.50893990871340811</v>
      </c>
      <c r="E7" s="3">
        <f t="shared" si="1"/>
        <v>3.3540742501633115E-2</v>
      </c>
    </row>
    <row r="8" spans="1:5" x14ac:dyDescent="0.3">
      <c r="A8" s="10" t="s">
        <v>14</v>
      </c>
      <c r="B8" s="9">
        <v>3030.4</v>
      </c>
      <c r="C8" s="9">
        <v>1455.1</v>
      </c>
      <c r="D8" s="4">
        <f t="shared" si="0"/>
        <v>0.48016763463569162</v>
      </c>
      <c r="E8" s="3">
        <f t="shared" si="1"/>
        <v>-5.6533735289991963E-2</v>
      </c>
    </row>
    <row r="9" spans="1:5" x14ac:dyDescent="0.3">
      <c r="A9" s="10" t="s">
        <v>15</v>
      </c>
      <c r="B9" s="9">
        <v>3372.8</v>
      </c>
      <c r="C9" s="9">
        <v>1543.1</v>
      </c>
      <c r="D9" s="4">
        <f t="shared" si="0"/>
        <v>0.45751304554079691</v>
      </c>
      <c r="E9" s="3">
        <f t="shared" si="1"/>
        <v>-4.7180583322911772E-2</v>
      </c>
    </row>
    <row r="10" spans="1:5" x14ac:dyDescent="0.3">
      <c r="A10" s="10" t="s">
        <v>16</v>
      </c>
      <c r="B10" s="9">
        <v>3510.5</v>
      </c>
      <c r="C10" s="9">
        <v>1587.2</v>
      </c>
      <c r="D10" s="4">
        <f t="shared" si="0"/>
        <v>0.45212932630679392</v>
      </c>
      <c r="E10" s="3">
        <f t="shared" si="1"/>
        <v>-1.1767356770426606E-2</v>
      </c>
    </row>
    <row r="11" spans="1:5" x14ac:dyDescent="0.3">
      <c r="A11" s="10" t="s">
        <v>17</v>
      </c>
      <c r="B11" s="9">
        <v>3643</v>
      </c>
      <c r="C11" s="9">
        <v>1654.2</v>
      </c>
      <c r="D11" s="4">
        <f t="shared" si="0"/>
        <v>0.45407631073291244</v>
      </c>
      <c r="E11" s="3">
        <f t="shared" si="1"/>
        <v>4.3062555619260614E-3</v>
      </c>
    </row>
    <row r="12" spans="1:5" x14ac:dyDescent="0.3">
      <c r="A12" s="10" t="s">
        <v>18</v>
      </c>
      <c r="B12" s="9">
        <v>3580.7</v>
      </c>
      <c r="C12" s="9">
        <v>1630.6</v>
      </c>
      <c r="D12" s="4">
        <f t="shared" si="0"/>
        <v>0.45538581841539366</v>
      </c>
      <c r="E12" s="3">
        <f t="shared" si="1"/>
        <v>2.8838934151125049E-3</v>
      </c>
    </row>
    <row r="13" spans="1:5" x14ac:dyDescent="0.3">
      <c r="A13" s="10" t="s">
        <v>19</v>
      </c>
      <c r="B13" s="9">
        <v>3232.1</v>
      </c>
      <c r="C13" s="9">
        <v>1453.1</v>
      </c>
      <c r="D13" s="4">
        <f t="shared" si="0"/>
        <v>0.44958386188546146</v>
      </c>
      <c r="E13" s="3">
        <f t="shared" si="1"/>
        <v>-1.2740749262068104E-2</v>
      </c>
    </row>
    <row r="14" spans="1:5" x14ac:dyDescent="0.3">
      <c r="A14" s="10" t="s">
        <v>20</v>
      </c>
      <c r="B14" s="9">
        <v>3535.4</v>
      </c>
      <c r="C14" s="9">
        <v>1505.2</v>
      </c>
      <c r="D14" s="4">
        <f t="shared" si="0"/>
        <v>0.42575097584431748</v>
      </c>
      <c r="E14" s="3">
        <f t="shared" si="1"/>
        <v>-5.3010990966610314E-2</v>
      </c>
    </row>
    <row r="15" spans="1:5" x14ac:dyDescent="0.3">
      <c r="A15" s="10" t="s">
        <v>21</v>
      </c>
      <c r="B15" s="9">
        <v>3223.9</v>
      </c>
      <c r="C15" s="9">
        <v>1421.2</v>
      </c>
      <c r="D15" s="4">
        <f t="shared" si="0"/>
        <v>0.44083253202642764</v>
      </c>
      <c r="E15" s="3">
        <f t="shared" si="1"/>
        <v>3.5423421290348291E-2</v>
      </c>
    </row>
    <row r="16" spans="1:5" x14ac:dyDescent="0.3">
      <c r="A16" s="10" t="s">
        <v>22</v>
      </c>
      <c r="B16" s="9">
        <v>3062</v>
      </c>
      <c r="C16" s="9">
        <v>1489.2</v>
      </c>
      <c r="D16" s="4">
        <f t="shared" si="0"/>
        <v>0.48634879163945133</v>
      </c>
      <c r="E16" s="3">
        <f t="shared" si="1"/>
        <v>0.10325068207601117</v>
      </c>
    </row>
    <row r="17" spans="1:7" x14ac:dyDescent="0.3">
      <c r="A17" s="2">
        <v>2019</v>
      </c>
      <c r="B17" s="9">
        <v>36456.999999999993</v>
      </c>
      <c r="C17" s="9">
        <v>18269.099999999995</v>
      </c>
      <c r="E17" s="3"/>
    </row>
    <row r="18" spans="1:7" x14ac:dyDescent="0.3">
      <c r="A18" s="10" t="s">
        <v>11</v>
      </c>
      <c r="B18" s="9">
        <v>2716.7</v>
      </c>
      <c r="C18" s="9">
        <v>1423.5</v>
      </c>
      <c r="E18" s="3"/>
    </row>
    <row r="19" spans="1:7" x14ac:dyDescent="0.3">
      <c r="A19" s="10" t="s">
        <v>12</v>
      </c>
      <c r="B19" s="9">
        <v>2560.8000000000002</v>
      </c>
      <c r="C19" s="9">
        <v>1290.5999999999999</v>
      </c>
      <c r="E19" s="3"/>
    </row>
    <row r="20" spans="1:7" x14ac:dyDescent="0.3">
      <c r="A20" s="10" t="s">
        <v>13</v>
      </c>
      <c r="B20" s="9">
        <v>3090.4</v>
      </c>
      <c r="C20" s="9">
        <v>1526.2</v>
      </c>
      <c r="E20" s="3"/>
    </row>
    <row r="21" spans="1:7" x14ac:dyDescent="0.3">
      <c r="A21" s="10" t="s">
        <v>14</v>
      </c>
      <c r="B21" s="9">
        <v>3055.1</v>
      </c>
      <c r="C21" s="9">
        <v>1486.1</v>
      </c>
      <c r="E21" s="3"/>
    </row>
    <row r="22" spans="1:7" x14ac:dyDescent="0.3">
      <c r="A22" s="10" t="s">
        <v>15</v>
      </c>
      <c r="B22" s="9">
        <v>3345.1</v>
      </c>
      <c r="C22" s="9">
        <v>1583.6</v>
      </c>
      <c r="E22" s="3"/>
    </row>
    <row r="23" spans="1:7" x14ac:dyDescent="0.3">
      <c r="A23" s="10" t="s">
        <v>16</v>
      </c>
      <c r="B23" s="9">
        <v>3244.5</v>
      </c>
      <c r="C23" s="9">
        <v>1615.3</v>
      </c>
      <c r="E23" s="3"/>
    </row>
    <row r="24" spans="1:7" x14ac:dyDescent="0.3">
      <c r="A24" s="10" t="s">
        <v>17</v>
      </c>
      <c r="B24" s="9">
        <v>3324.1</v>
      </c>
      <c r="C24" s="9">
        <v>1675.8</v>
      </c>
      <c r="E24" s="3"/>
    </row>
    <row r="25" spans="1:7" ht="15" thickBot="1" x14ac:dyDescent="0.35">
      <c r="A25" s="10" t="s">
        <v>18</v>
      </c>
      <c r="B25" s="9">
        <v>3212.3</v>
      </c>
      <c r="C25" s="9">
        <v>1653.3</v>
      </c>
      <c r="E25" s="3"/>
    </row>
    <row r="26" spans="1:7" ht="16.2" thickBot="1" x14ac:dyDescent="0.35">
      <c r="A26" s="10" t="s">
        <v>19</v>
      </c>
      <c r="B26" s="9">
        <v>2890.6</v>
      </c>
      <c r="C26" s="9">
        <v>1476.6</v>
      </c>
      <c r="E26" s="3"/>
      <c r="F26" s="5"/>
      <c r="G26" s="6"/>
    </row>
    <row r="27" spans="1:7" x14ac:dyDescent="0.3">
      <c r="A27" s="10" t="s">
        <v>20</v>
      </c>
      <c r="B27" s="9">
        <v>3036.2</v>
      </c>
      <c r="C27" s="9">
        <v>1541.8</v>
      </c>
      <c r="E27" s="3"/>
    </row>
    <row r="28" spans="1:7" ht="15" thickBot="1" x14ac:dyDescent="0.35">
      <c r="A28" s="10" t="s">
        <v>21</v>
      </c>
      <c r="B28" s="9">
        <v>2870.7</v>
      </c>
      <c r="C28" s="9">
        <v>1444.2</v>
      </c>
      <c r="E28" s="3"/>
    </row>
    <row r="29" spans="1:7" ht="16.2" thickBot="1" x14ac:dyDescent="0.35">
      <c r="A29" s="10" t="s">
        <v>22</v>
      </c>
      <c r="B29" s="9">
        <v>3110.5</v>
      </c>
      <c r="C29" s="9">
        <v>1552.1</v>
      </c>
      <c r="E29" s="3"/>
      <c r="F29" s="7"/>
      <c r="G29" s="8"/>
    </row>
    <row r="30" spans="1:7" ht="16.2" thickBot="1" x14ac:dyDescent="0.35">
      <c r="A30" s="2">
        <v>2020</v>
      </c>
      <c r="B30" s="9">
        <v>14687.399999999998</v>
      </c>
      <c r="C30" s="9">
        <v>10279.6</v>
      </c>
      <c r="E30" s="3"/>
      <c r="F30" s="7"/>
      <c r="G30" s="8"/>
    </row>
    <row r="31" spans="1:7" ht="16.2" thickBot="1" x14ac:dyDescent="0.35">
      <c r="A31" s="10" t="s">
        <v>11</v>
      </c>
      <c r="B31" s="9">
        <v>2895</v>
      </c>
      <c r="C31" s="9">
        <v>1460.9</v>
      </c>
      <c r="E31" s="3"/>
      <c r="F31" s="7"/>
      <c r="G31" s="8"/>
    </row>
    <row r="32" spans="1:7" ht="16.2" thickBot="1" x14ac:dyDescent="0.35">
      <c r="A32" s="10" t="s">
        <v>12</v>
      </c>
      <c r="B32" s="9">
        <v>2402.6</v>
      </c>
      <c r="C32" s="9">
        <v>1329</v>
      </c>
      <c r="E32" s="3"/>
      <c r="F32" s="7"/>
      <c r="G32" s="8"/>
    </row>
    <row r="33" spans="1:7" ht="16.2" thickBot="1" x14ac:dyDescent="0.35">
      <c r="A33" s="10" t="s">
        <v>13</v>
      </c>
      <c r="B33" s="9">
        <v>1723.9</v>
      </c>
      <c r="C33" s="9">
        <v>1168.4000000000001</v>
      </c>
      <c r="E33" s="3"/>
      <c r="F33" s="7"/>
      <c r="G33" s="8"/>
    </row>
    <row r="34" spans="1:7" ht="16.2" thickBot="1" x14ac:dyDescent="0.35">
      <c r="A34" s="10" t="s">
        <v>14</v>
      </c>
      <c r="B34" s="9">
        <v>617.5</v>
      </c>
      <c r="C34" s="9">
        <v>446.9</v>
      </c>
      <c r="E34" s="3"/>
      <c r="F34" s="7"/>
      <c r="G34" s="8"/>
    </row>
    <row r="35" spans="1:7" ht="16.2" thickBot="1" x14ac:dyDescent="0.35">
      <c r="A35" s="10" t="s">
        <v>15</v>
      </c>
      <c r="B35" s="9">
        <v>466.1</v>
      </c>
      <c r="C35" s="9">
        <v>453.4</v>
      </c>
      <c r="E35" s="3"/>
      <c r="F35" s="7"/>
      <c r="G35" s="8"/>
    </row>
    <row r="36" spans="1:7" ht="16.2" thickBot="1" x14ac:dyDescent="0.35">
      <c r="A36" s="10" t="s">
        <v>16</v>
      </c>
      <c r="B36" s="9">
        <v>603.9</v>
      </c>
      <c r="C36" s="9">
        <v>558</v>
      </c>
      <c r="E36" s="3"/>
      <c r="F36" s="7"/>
      <c r="G36" s="8"/>
    </row>
    <row r="37" spans="1:7" ht="16.2" thickBot="1" x14ac:dyDescent="0.35">
      <c r="A37" s="10" t="s">
        <v>17</v>
      </c>
      <c r="B37" s="9">
        <v>894.8</v>
      </c>
      <c r="C37" s="9">
        <v>763.1</v>
      </c>
      <c r="E37" s="3"/>
      <c r="F37" s="7"/>
      <c r="G37" s="8"/>
    </row>
    <row r="38" spans="1:7" ht="16.2" thickBot="1" x14ac:dyDescent="0.35">
      <c r="A38" s="10" t="s">
        <v>18</v>
      </c>
      <c r="B38" s="9">
        <v>968.6</v>
      </c>
      <c r="C38" s="9">
        <v>801.6</v>
      </c>
      <c r="E38" s="3"/>
      <c r="F38" s="7"/>
      <c r="G38" s="8"/>
    </row>
    <row r="39" spans="1:7" ht="16.2" thickBot="1" x14ac:dyDescent="0.35">
      <c r="A39" s="10" t="s">
        <v>19</v>
      </c>
      <c r="B39" s="9">
        <v>852.3</v>
      </c>
      <c r="C39" s="9">
        <v>727.9</v>
      </c>
      <c r="E39" s="3"/>
      <c r="F39" s="7"/>
      <c r="G39" s="8"/>
    </row>
    <row r="40" spans="1:7" ht="16.2" thickBot="1" x14ac:dyDescent="0.35">
      <c r="A40" s="10" t="s">
        <v>20</v>
      </c>
      <c r="B40" s="9">
        <v>917.5</v>
      </c>
      <c r="C40" s="9">
        <v>807.4</v>
      </c>
      <c r="E40" s="3"/>
      <c r="F40" s="7"/>
      <c r="G40" s="8"/>
    </row>
    <row r="41" spans="1:7" x14ac:dyDescent="0.3">
      <c r="A41" s="10" t="s">
        <v>21</v>
      </c>
      <c r="B41" s="9">
        <v>1012.9</v>
      </c>
      <c r="C41" s="9">
        <v>844.6</v>
      </c>
      <c r="E41" s="3"/>
    </row>
    <row r="42" spans="1:7" ht="15" thickBot="1" x14ac:dyDescent="0.35">
      <c r="A42" s="10" t="s">
        <v>22</v>
      </c>
      <c r="B42" s="9">
        <v>1332.3</v>
      </c>
      <c r="C42" s="9">
        <v>918.4</v>
      </c>
      <c r="E42" s="3"/>
    </row>
    <row r="43" spans="1:7" ht="16.2" thickBot="1" x14ac:dyDescent="0.35">
      <c r="A43" s="2">
        <v>2021</v>
      </c>
      <c r="B43" s="9">
        <v>27239.8</v>
      </c>
      <c r="C43" s="9">
        <v>13785.400000000001</v>
      </c>
      <c r="E43" s="3"/>
      <c r="F43" s="7"/>
      <c r="G43" s="8"/>
    </row>
    <row r="44" spans="1:7" ht="16.2" thickBot="1" x14ac:dyDescent="0.35">
      <c r="A44" s="10" t="s">
        <v>11</v>
      </c>
      <c r="B44" s="9">
        <v>1272.0999999999999</v>
      </c>
      <c r="C44" s="9">
        <v>844.2</v>
      </c>
      <c r="E44" s="3"/>
      <c r="F44" s="7"/>
      <c r="G44" s="8"/>
    </row>
    <row r="45" spans="1:7" ht="16.2" thickBot="1" x14ac:dyDescent="0.35">
      <c r="A45" s="10" t="s">
        <v>12</v>
      </c>
      <c r="B45" s="9">
        <v>1207.9000000000001</v>
      </c>
      <c r="C45" s="9">
        <v>756.5</v>
      </c>
      <c r="E45" s="3"/>
      <c r="F45" s="7"/>
      <c r="G45" s="8"/>
    </row>
    <row r="46" spans="1:7" ht="16.2" thickBot="1" x14ac:dyDescent="0.35">
      <c r="A46" s="10" t="s">
        <v>13</v>
      </c>
      <c r="B46" s="9">
        <v>1853.8</v>
      </c>
      <c r="C46" s="9">
        <v>1003.3</v>
      </c>
      <c r="E46" s="3"/>
      <c r="F46" s="7"/>
      <c r="G46" s="8"/>
    </row>
    <row r="47" spans="1:7" ht="16.2" thickBot="1" x14ac:dyDescent="0.35">
      <c r="A47" s="10" t="s">
        <v>14</v>
      </c>
      <c r="B47" s="9">
        <v>1822.4</v>
      </c>
      <c r="C47" s="9">
        <v>1040</v>
      </c>
      <c r="E47" s="3"/>
      <c r="F47" s="7"/>
      <c r="G47" s="8"/>
    </row>
    <row r="48" spans="1:7" ht="16.2" thickBot="1" x14ac:dyDescent="0.35">
      <c r="A48" s="10" t="s">
        <v>15</v>
      </c>
      <c r="B48" s="9">
        <v>2251</v>
      </c>
      <c r="C48" s="9">
        <v>1138</v>
      </c>
      <c r="E48" s="3"/>
      <c r="F48" s="7"/>
      <c r="G48" s="8"/>
    </row>
    <row r="49" spans="1:7" ht="16.2" thickBot="1" x14ac:dyDescent="0.35">
      <c r="A49" s="10" t="s">
        <v>16</v>
      </c>
      <c r="B49" s="9">
        <v>2480.6999999999998</v>
      </c>
      <c r="C49" s="9">
        <v>1229.7</v>
      </c>
      <c r="E49" s="3"/>
      <c r="F49" s="7"/>
      <c r="G49" s="8"/>
    </row>
    <row r="50" spans="1:7" ht="16.2" thickBot="1" x14ac:dyDescent="0.35">
      <c r="A50" s="10" t="s">
        <v>17</v>
      </c>
      <c r="B50" s="9">
        <v>2682.3</v>
      </c>
      <c r="C50" s="9">
        <v>1348.2</v>
      </c>
      <c r="E50" s="3"/>
      <c r="F50" s="7"/>
      <c r="G50" s="8"/>
    </row>
    <row r="51" spans="1:7" ht="16.2" thickBot="1" x14ac:dyDescent="0.35">
      <c r="A51" s="10" t="s">
        <v>18</v>
      </c>
      <c r="B51" s="9">
        <v>2609.8000000000002</v>
      </c>
      <c r="C51" s="9">
        <v>1322.9</v>
      </c>
      <c r="E51" s="3"/>
      <c r="F51" s="7"/>
      <c r="G51" s="8"/>
    </row>
    <row r="52" spans="1:7" ht="16.2" thickBot="1" x14ac:dyDescent="0.35">
      <c r="A52" s="10" t="s">
        <v>19</v>
      </c>
      <c r="B52" s="9">
        <v>2432.6</v>
      </c>
      <c r="C52" s="9">
        <v>1223.0999999999999</v>
      </c>
      <c r="E52" s="3"/>
      <c r="F52" s="7"/>
      <c r="G52" s="8"/>
    </row>
    <row r="53" spans="1:7" ht="16.2" thickBot="1" x14ac:dyDescent="0.35">
      <c r="A53" s="10" t="s">
        <v>20</v>
      </c>
      <c r="B53" s="9">
        <v>2849.9</v>
      </c>
      <c r="C53" s="9">
        <v>1276.7</v>
      </c>
      <c r="E53" s="3"/>
      <c r="F53" s="7"/>
      <c r="G53" s="8"/>
    </row>
    <row r="54" spans="1:7" ht="16.2" thickBot="1" x14ac:dyDescent="0.35">
      <c r="A54" s="10" t="s">
        <v>21</v>
      </c>
      <c r="B54" s="9">
        <v>2899.1</v>
      </c>
      <c r="C54" s="9">
        <v>1254.7</v>
      </c>
      <c r="E54" s="3"/>
      <c r="F54" s="7"/>
      <c r="G54" s="8"/>
    </row>
    <row r="55" spans="1:7" x14ac:dyDescent="0.3">
      <c r="A55" s="10" t="s">
        <v>22</v>
      </c>
      <c r="B55" s="9">
        <v>2878.2</v>
      </c>
      <c r="C55" s="9">
        <v>1348.1</v>
      </c>
      <c r="E55" s="3"/>
    </row>
    <row r="56" spans="1:7" ht="15" thickBot="1" x14ac:dyDescent="0.35">
      <c r="A56" s="2">
        <v>2022</v>
      </c>
      <c r="B56" s="9">
        <v>56128.5</v>
      </c>
      <c r="C56" s="9">
        <v>16657.400000000001</v>
      </c>
      <c r="E56" s="3"/>
    </row>
    <row r="57" spans="1:7" ht="16.2" thickBot="1" x14ac:dyDescent="0.35">
      <c r="A57" s="10" t="s">
        <v>11</v>
      </c>
      <c r="B57" s="9">
        <v>2846.5</v>
      </c>
      <c r="C57" s="9">
        <v>1207.5999999999999</v>
      </c>
      <c r="E57" s="3"/>
      <c r="F57" s="7"/>
      <c r="G57" s="8"/>
    </row>
    <row r="58" spans="1:7" ht="16.2" thickBot="1" x14ac:dyDescent="0.35">
      <c r="A58" s="10" t="s">
        <v>12</v>
      </c>
      <c r="B58" s="9">
        <v>2979.9</v>
      </c>
      <c r="C58" s="9">
        <v>1144.2</v>
      </c>
      <c r="E58" s="3"/>
      <c r="F58" s="7"/>
      <c r="G58" s="8"/>
    </row>
    <row r="59" spans="1:7" ht="16.2" thickBot="1" x14ac:dyDescent="0.35">
      <c r="A59" s="10" t="s">
        <v>13</v>
      </c>
      <c r="B59" s="9">
        <v>4182.5</v>
      </c>
      <c r="C59" s="9">
        <v>1376.2</v>
      </c>
      <c r="E59" s="3"/>
      <c r="F59" s="7"/>
      <c r="G59" s="8"/>
    </row>
    <row r="60" spans="1:7" ht="16.2" thickBot="1" x14ac:dyDescent="0.35">
      <c r="A60" s="10" t="s">
        <v>14</v>
      </c>
      <c r="B60" s="9">
        <v>4822.8999999999996</v>
      </c>
      <c r="C60" s="9">
        <v>1345.2</v>
      </c>
      <c r="E60" s="3"/>
      <c r="F60" s="7"/>
      <c r="G60" s="8"/>
    </row>
    <row r="61" spans="1:7" ht="16.2" thickBot="1" x14ac:dyDescent="0.35">
      <c r="A61" s="10" t="s">
        <v>15</v>
      </c>
      <c r="B61" s="9">
        <v>5509.5</v>
      </c>
      <c r="C61" s="9">
        <v>1414</v>
      </c>
      <c r="E61" s="3"/>
      <c r="F61" s="7"/>
      <c r="G61" s="8"/>
    </row>
    <row r="62" spans="1:7" ht="16.2" thickBot="1" x14ac:dyDescent="0.35">
      <c r="A62" s="10" t="s">
        <v>16</v>
      </c>
      <c r="B62" s="9">
        <v>5833.8</v>
      </c>
      <c r="C62" s="9">
        <v>1442.7</v>
      </c>
      <c r="E62" s="3"/>
      <c r="F62" s="7"/>
      <c r="G62" s="8"/>
    </row>
    <row r="63" spans="1:7" ht="16.2" thickBot="1" x14ac:dyDescent="0.35">
      <c r="A63" s="10" t="s">
        <v>17</v>
      </c>
      <c r="B63" s="9">
        <v>5636.3</v>
      </c>
      <c r="C63" s="9">
        <v>1520.2</v>
      </c>
      <c r="E63" s="3"/>
      <c r="F63" s="7"/>
      <c r="G63" s="8"/>
    </row>
    <row r="64" spans="1:7" ht="16.2" thickBot="1" x14ac:dyDescent="0.35">
      <c r="A64" s="10" t="s">
        <v>18</v>
      </c>
      <c r="B64" s="9">
        <v>5222.8</v>
      </c>
      <c r="C64" s="9">
        <v>1503.8</v>
      </c>
      <c r="E64" s="3"/>
      <c r="F64" s="7"/>
      <c r="G64" s="8"/>
    </row>
    <row r="65" spans="1:7" ht="16.2" thickBot="1" x14ac:dyDescent="0.35">
      <c r="A65" s="10" t="s">
        <v>19</v>
      </c>
      <c r="B65" s="9">
        <v>4885.6000000000004</v>
      </c>
      <c r="C65" s="9">
        <v>1401.1</v>
      </c>
      <c r="E65" s="3"/>
      <c r="F65" s="7"/>
      <c r="G65" s="8"/>
    </row>
    <row r="66" spans="1:7" ht="16.2" thickBot="1" x14ac:dyDescent="0.35">
      <c r="A66" s="10" t="s">
        <v>20</v>
      </c>
      <c r="B66" s="9">
        <v>4945.8</v>
      </c>
      <c r="C66" s="9">
        <v>1433.5</v>
      </c>
      <c r="E66" s="3"/>
      <c r="F66" s="7"/>
      <c r="G66" s="8"/>
    </row>
    <row r="67" spans="1:7" ht="16.2" thickBot="1" x14ac:dyDescent="0.35">
      <c r="A67" s="10" t="s">
        <v>21</v>
      </c>
      <c r="B67" s="9">
        <v>4637.3999999999996</v>
      </c>
      <c r="C67" s="9">
        <v>1397.6</v>
      </c>
      <c r="E67" s="3"/>
      <c r="F67" s="7"/>
      <c r="G67" s="8"/>
    </row>
    <row r="68" spans="1:7" ht="16.2" thickBot="1" x14ac:dyDescent="0.35">
      <c r="A68" s="10" t="s">
        <v>22</v>
      </c>
      <c r="B68" s="9">
        <v>4625.5</v>
      </c>
      <c r="C68" s="9">
        <v>1471.3</v>
      </c>
      <c r="E68" s="3"/>
      <c r="F68" s="7"/>
      <c r="G68" s="8"/>
    </row>
    <row r="69" spans="1:7" x14ac:dyDescent="0.3">
      <c r="A69" s="2">
        <v>2023</v>
      </c>
      <c r="B69" s="9">
        <v>52555.3</v>
      </c>
      <c r="C69" s="9">
        <v>18466.800000000003</v>
      </c>
      <c r="E69" s="3"/>
    </row>
    <row r="70" spans="1:7" x14ac:dyDescent="0.3">
      <c r="A70" s="10" t="s">
        <v>11</v>
      </c>
      <c r="B70" s="9">
        <v>4613.1000000000004</v>
      </c>
      <c r="C70" s="9">
        <v>1414.3</v>
      </c>
      <c r="E70" s="3"/>
    </row>
    <row r="71" spans="1:7" x14ac:dyDescent="0.3">
      <c r="A71" s="10" t="s">
        <v>12</v>
      </c>
      <c r="B71" s="9">
        <v>4210.5</v>
      </c>
      <c r="C71" s="9">
        <v>1305.7</v>
      </c>
      <c r="E71" s="3"/>
    </row>
    <row r="72" spans="1:7" x14ac:dyDescent="0.3">
      <c r="A72" s="10" t="s">
        <v>13</v>
      </c>
      <c r="B72" s="9">
        <v>4504.1000000000004</v>
      </c>
      <c r="C72" s="9">
        <v>1545.2</v>
      </c>
      <c r="E72" s="3"/>
    </row>
    <row r="73" spans="1:7" x14ac:dyDescent="0.3">
      <c r="A73" s="10" t="s">
        <v>14</v>
      </c>
      <c r="B73" s="9">
        <v>3944.5</v>
      </c>
      <c r="C73" s="9">
        <v>1484.3</v>
      </c>
      <c r="E73" s="3"/>
    </row>
    <row r="74" spans="1:7" x14ac:dyDescent="0.3">
      <c r="A74" s="10" t="s">
        <v>15</v>
      </c>
      <c r="B74" s="9">
        <v>3828.9</v>
      </c>
      <c r="C74" s="9">
        <v>1567.8</v>
      </c>
      <c r="E74" s="3"/>
    </row>
    <row r="75" spans="1:7" x14ac:dyDescent="0.3">
      <c r="A75" s="10" t="s">
        <v>16</v>
      </c>
      <c r="B75" s="9">
        <v>3876.5</v>
      </c>
      <c r="C75" s="9">
        <v>1598.9</v>
      </c>
      <c r="E75" s="3"/>
    </row>
    <row r="76" spans="1:7" x14ac:dyDescent="0.3">
      <c r="A76" s="10" t="s">
        <v>17</v>
      </c>
      <c r="B76" s="9">
        <v>4162.8</v>
      </c>
      <c r="C76" s="9">
        <v>1679</v>
      </c>
      <c r="E76" s="3"/>
    </row>
    <row r="77" spans="1:7" x14ac:dyDescent="0.3">
      <c r="A77" s="10" t="s">
        <v>18</v>
      </c>
      <c r="B77" s="9">
        <v>4725.2</v>
      </c>
      <c r="C77" s="9">
        <v>1674.6</v>
      </c>
      <c r="E77" s="3"/>
    </row>
    <row r="78" spans="1:7" x14ac:dyDescent="0.3">
      <c r="A78" s="10" t="s">
        <v>19</v>
      </c>
      <c r="B78" s="9">
        <v>4777.3</v>
      </c>
      <c r="C78" s="9">
        <v>1519.7</v>
      </c>
      <c r="E78" s="3"/>
    </row>
    <row r="79" spans="1:7" x14ac:dyDescent="0.3">
      <c r="A79" s="10" t="s">
        <v>20</v>
      </c>
      <c r="B79" s="9">
        <v>4955.1000000000004</v>
      </c>
      <c r="C79" s="9">
        <v>1589.3</v>
      </c>
      <c r="E79" s="3"/>
    </row>
    <row r="80" spans="1:7" x14ac:dyDescent="0.3">
      <c r="A80" s="10" t="s">
        <v>21</v>
      </c>
      <c r="B80" s="9">
        <v>4528.8</v>
      </c>
      <c r="C80" s="9">
        <v>1503.8</v>
      </c>
      <c r="E80" s="3"/>
    </row>
    <row r="81" spans="1:5" x14ac:dyDescent="0.3">
      <c r="A81" s="10" t="s">
        <v>22</v>
      </c>
      <c r="B81" s="9">
        <v>4428.5</v>
      </c>
      <c r="C81" s="9">
        <v>1584.2</v>
      </c>
      <c r="E81" s="3"/>
    </row>
    <row r="82" spans="1:5" x14ac:dyDescent="0.3">
      <c r="A82" s="2" t="s">
        <v>61</v>
      </c>
      <c r="B82" s="9">
        <v>-5.21E-2</v>
      </c>
      <c r="C82" s="9">
        <v>2.24E-2</v>
      </c>
      <c r="E82" s="3"/>
    </row>
    <row r="83" spans="1:5" x14ac:dyDescent="0.3">
      <c r="A83" s="10" t="s">
        <v>75</v>
      </c>
      <c r="B83" s="9">
        <v>-5.21E-2</v>
      </c>
      <c r="C83" s="9">
        <v>2.24E-2</v>
      </c>
    </row>
    <row r="84" spans="1:5" x14ac:dyDescent="0.3">
      <c r="A84" s="2" t="s">
        <v>63</v>
      </c>
      <c r="B84" s="9">
        <v>-0.59709999999999996</v>
      </c>
      <c r="C84" s="9">
        <v>-0.43730000000000002</v>
      </c>
    </row>
    <row r="85" spans="1:5" x14ac:dyDescent="0.3">
      <c r="A85" s="10" t="s">
        <v>75</v>
      </c>
      <c r="B85" s="9">
        <v>-0.59709999999999996</v>
      </c>
      <c r="C85" s="9">
        <v>-0.43730000000000002</v>
      </c>
    </row>
    <row r="86" spans="1:5" x14ac:dyDescent="0.3">
      <c r="A86" s="2" t="s">
        <v>65</v>
      </c>
      <c r="B86" s="9">
        <v>0.85460000000000003</v>
      </c>
      <c r="C86" s="9">
        <v>0.34110000000000001</v>
      </c>
    </row>
    <row r="87" spans="1:5" x14ac:dyDescent="0.3">
      <c r="A87" s="10" t="s">
        <v>75</v>
      </c>
      <c r="B87" s="9">
        <v>0.85460000000000003</v>
      </c>
      <c r="C87" s="9">
        <v>0.34110000000000001</v>
      </c>
    </row>
    <row r="88" spans="1:5" x14ac:dyDescent="0.3">
      <c r="A88" s="2" t="s">
        <v>67</v>
      </c>
      <c r="B88" s="9">
        <v>1.0605</v>
      </c>
      <c r="C88" s="9">
        <v>0.20830000000000001</v>
      </c>
    </row>
    <row r="89" spans="1:5" x14ac:dyDescent="0.3">
      <c r="A89" s="10" t="s">
        <v>75</v>
      </c>
      <c r="B89" s="9">
        <v>1.0605</v>
      </c>
      <c r="C89" s="9">
        <v>0.20830000000000001</v>
      </c>
    </row>
    <row r="90" spans="1:5" x14ac:dyDescent="0.3">
      <c r="A90" s="2" t="s">
        <v>69</v>
      </c>
      <c r="B90" s="9">
        <v>-6.3700000000000007E-2</v>
      </c>
      <c r="C90" s="9">
        <v>0.1086</v>
      </c>
    </row>
    <row r="91" spans="1:5" x14ac:dyDescent="0.3">
      <c r="A91" s="10" t="s">
        <v>75</v>
      </c>
      <c r="B91" s="9">
        <v>-6.3700000000000007E-2</v>
      </c>
      <c r="C91" s="9">
        <v>0.1086</v>
      </c>
    </row>
    <row r="92" spans="1:5" x14ac:dyDescent="0.3">
      <c r="A92" s="2" t="s">
        <v>71</v>
      </c>
      <c r="B92" s="9">
        <v>-8.2299999999999998E-2</v>
      </c>
      <c r="C92" s="9">
        <v>2.6800000000000001E-2</v>
      </c>
    </row>
    <row r="93" spans="1:5" x14ac:dyDescent="0.3">
      <c r="A93" s="10" t="s">
        <v>75</v>
      </c>
      <c r="B93" s="9">
        <v>-8.2299999999999998E-2</v>
      </c>
      <c r="C93" s="9">
        <v>2.6800000000000001E-2</v>
      </c>
    </row>
    <row r="94" spans="1:5" x14ac:dyDescent="0.3">
      <c r="A94" s="2" t="s">
        <v>76</v>
      </c>
      <c r="B94" s="9">
        <v>225531.91989999992</v>
      </c>
      <c r="C94" s="9">
        <v>95327.169899999994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cleaned_airline_fuel_data (1)</vt:lpstr>
      <vt:lpstr>Sheet1</vt:lpstr>
      <vt:lpstr>Sheet2</vt:lpstr>
      <vt:lpstr>Pivoting</vt:lpstr>
      <vt:lpstr>Final hyp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Nischala Kuchibhotla</dc:creator>
  <cp:lastModifiedBy>Kuchibhotla, Sai Nischala</cp:lastModifiedBy>
  <dcterms:created xsi:type="dcterms:W3CDTF">2025-04-21T22:44:10Z</dcterms:created>
  <dcterms:modified xsi:type="dcterms:W3CDTF">2025-04-23T15:58:17Z</dcterms:modified>
</cp:coreProperties>
</file>